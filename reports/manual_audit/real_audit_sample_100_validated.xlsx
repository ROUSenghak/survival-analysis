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98d56c0b7949d2" /></Relationships>
</file>

<file path=xl/workbook.xml><?xml version="1.0" encoding="utf-8"?>
<x:workbook xmlns:x="http://schemas.openxmlformats.org/spreadsheetml/2006/main">
  <x:sheets>
    <x:sheet xmlns:r="http://schemas.openxmlformats.org/officeDocument/2006/relationships" name="Review" sheetId="1" r:id="R633fcd5dbf874ace"/>
    <x:sheet xmlns:r="http://schemas.openxmlformats.org/officeDocument/2006/relationships" name="Instructions" sheetId="2" r:id="R6cd19d61b88a43b4"/>
    <x:sheet xmlns:r="http://schemas.openxmlformats.org/officeDocument/2006/relationships" name="LabelGuide" sheetId="3" r:id="Rbc5372e8114a4c89"/>
    <x:sheet xmlns:r="http://schemas.openxmlformats.org/officeDocument/2006/relationships" name="AuditSummary" sheetId="4" r:id="Rf3a04974ebda4ea1"/>
    <x:sheet xmlns:r="http://schemas.openxmlformats.org/officeDocument/2006/relationships" name="Evidence" sheetId="5" r:id="R6adeac8cf56f4c82"/>
    <x:sheet xmlns:r="http://schemas.openxmlformats.org/officeDocument/2006/relationships" name="ValidationRubric" sheetId="6" r:id="R0ce4180539f14df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
    <x:numFmt numFmtId="202" formatCode="#,##0"/>
  </x:numFmts>
  <x:fonts count="6">
    <x:font>
      <x:sz val="11"/>
      <x:name val="Calibri"/>
    </x:font>
    <x:font>
      <x:b/>
      <x:sz val="11"/>
      <x:name val="Calibri"/>
    </x:font>
    <x:font>
      <x:b/>
      <x:sz val="11"/>
      <x:color rgb="FFFFFFFF"/>
      <x:name val="Calibri"/>
    </x:font>
    <x:font>
      <x:i/>
      <x:sz val="11"/>
      <x:color rgb="FF475569"/>
      <x:name val="Calibri"/>
    </x:font>
    <x:font>
      <x:b/>
      <x:sz val="11"/>
      <x:color rgb="FF17365D"/>
      <x:name val="Calibri"/>
    </x:font>
    <x:font>
      <x:b/>
      <x:sz val="11"/>
      <x:color rgb="FF334155"/>
      <x:name val="Calibri"/>
    </x:font>
  </x:fonts>
  <x:fills count="5">
    <x:fill>
      <x:patternFill patternType="none"/>
    </x:fill>
    <x:fill>
      <x:patternFill patternType="gray125"/>
    </x:fill>
    <x:fill>
      <x:patternFill patternType="solid">
        <x:fgColor rgb="FF17365D"/>
      </x:patternFill>
    </x:fill>
    <x:fill>
      <x:patternFill patternType="solid">
        <x:fgColor rgb="FFDCE6F1"/>
      </x:patternFill>
    </x:fill>
    <x:fill>
      <x:patternFill patternType="solid">
        <x:fgColor rgb="FF4472C4"/>
      </x:patternFill>
    </x:fill>
  </x:fills>
  <x:borders count="7">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34">
    <x:xf numFmtId="0" fontId="0" fillId="0" borderId="0" xfId="0"/>
    <x:xf numFmtId="0" fontId="1" fillId="0" borderId="0" xfId="0" applyFont="1"/>
    <x:xf numFmtId="0" fontId="0" fillId="0" borderId="0" xfId="0" applyAlignment="1">
      <x:alignment vertical="top" wrapText="1"/>
    </x:xf>
    <x:xf numFmtId="200" fontId="0" fillId="0" borderId="0" xfId="0" applyNumberFormat="1" applyFont="1" applyFill="1" applyBorder="1"/>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3" fillId="0" borderId="0" xfId="0" applyNumberFormat="1" applyFont="1" applyFill="1" applyBorder="1"/>
    <x:xf numFmtId="0" fontId="3" fillId="0"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201" fontId="0" fillId="0" borderId="4" xfId="0" applyNumberFormat="1" applyFont="1" applyFill="1" applyBorder="1"/>
    <x:xf numFmtId="202" fontId="0" fillId="0" borderId="4" xfId="0" applyNumberFormat="1" applyFont="1" applyFill="1" applyBorder="1"/>
    <x:xf numFmtId="201" fontId="0" fillId="0" borderId="6"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4" borderId="0" xfId="0" applyNumberFormat="1" applyFont="1" applyFill="1" applyBorder="1" applyAlignment="1">
      <x:alignment wrapText="1"/>
    </x:xf>
    <x:xf numFmtId="0" fontId="2" fillId="4" borderId="0" xfId="0" applyNumberFormat="1" applyFont="1" applyFill="1" applyBorder="1" applyAlignment="1">
      <x:alignment vertical="top" wrapText="1"/>
    </x:xf>
  </x:cellXfs>
  <x:cellStyles count="1">
    <x:cellStyle name="Normal" xfId="0"/>
  </x:cellStyles>
  <x:dxfs count="10">
    <x:dxf>
      <x:font>
        <x:b/>
        <x:color rgb="FF166534"/>
      </x:font>
      <x:fill>
        <x:patternFill patternType="solid">
          <x:bgColor rgb="FFDCFCE7"/>
        </x:patternFill>
      </x:fill>
    </x:dxf>
    <x:dxf>
      <x:font>
        <x:b/>
        <x:color rgb="FF991B1B"/>
      </x:font>
      <x:fill>
        <x:patternFill patternType="solid">
          <x:bgColor rgb="FFFEE2E2"/>
        </x:patternFill>
      </x:fill>
    </x:dxf>
    <x:dxf>
      <x:font>
        <x:b/>
        <x:color rgb="FF9A3412"/>
      </x:font>
      <x:fill>
        <x:patternFill patternType="solid">
          <x:bgColor rgb="FFFFEDD5"/>
        </x:patternFill>
      </x:fill>
    </x:dxf>
    <x:dxf>
      <x:font>
        <x:b/>
        <x:color rgb="FF1E40AF"/>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A3412"/>
      </x:font>
      <x:fill>
        <x:patternFill patternType="solid">
          <x:bgColor rgb="FFFFEDD5"/>
        </x:patternFill>
      </x:fill>
    </x:dxf>
    <x:dxf>
      <x:font>
        <x:b/>
        <x:color rgb="FF1E40AF"/>
      </x:font>
      <x:fill>
        <x:patternFill patternType="solid">
          <x:bgColor rgb="FFDBEAFE"/>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4bfd7a000746a1" /><Relationship Type="http://schemas.openxmlformats.org/officeDocument/2006/relationships/theme" Target="/xl/theme/theme1.xml" Id="R450e8dfea2d6456f" /><Relationship Type="http://schemas.openxmlformats.org/officeDocument/2006/relationships/sharedStrings" Target="/xl/sharedStrings.xml" Id="Rc257755a40334abe" /><Relationship Type="http://schemas.openxmlformats.org/officeDocument/2006/relationships/worksheet" Target="/xl/worksheets/sheet1.xml" Id="R633fcd5dbf874ace" /><Relationship Type="http://schemas.openxmlformats.org/officeDocument/2006/relationships/worksheet" Target="/xl/worksheets/sheet2.xml" Id="R6cd19d61b88a43b4" /><Relationship Type="http://schemas.openxmlformats.org/officeDocument/2006/relationships/worksheet" Target="/xl/worksheets/sheet3.xml" Id="Rbc5372e8114a4c89" /><Relationship Type="http://schemas.openxmlformats.org/officeDocument/2006/relationships/worksheet" Target="/xl/worksheets/sheet4.xml" Id="Rf3a04974ebda4ea1" /><Relationship Type="http://schemas.openxmlformats.org/officeDocument/2006/relationships/worksheet" Target="/xl/worksheets/sheet5.xml" Id="R6adeac8cf56f4c82" /><Relationship Type="http://schemas.openxmlformats.org/officeDocument/2006/relationships/worksheet" Target="/xl/worksheets/sheet6.xml" Id="R0ce4180539f14df9" /></Relationships>
</file>

<file path=xl/tables/table1.xml><?xml version="1.0" encoding="utf-8"?>
<x:table xmlns:x="http://schemas.openxmlformats.org/spreadsheetml/2006/main" id="1" name="ValidationEvidenceTable" displayName="ValidationEvidenceTable" ref="A1:R101" headerRowCount="1" totalsRowCount="0" totalsRowShown="0">
  <x:tableColumns count="18">
    <x:tableColumn id="1" name="case_id"/>
    <x:tableColumn id="2" name="primary_pair_reviewed"/>
    <x:tableColumn id="3" name="manual_label"/>
    <x:tableColumn id="4" name="confidence"/>
    <x:tableColumn id="5" name="rationale"/>
    <x:tableColumn id="6" name="official_evidence"/>
    <x:tableColumn id="7" name="source_urls"/>
    <x:tableColumn id="8" name="contradicting_evidence"/>
    <x:tableColumn id="9" name="alternative_successor_id"/>
    <x:tableColumn id="10" name="alternative_successor_text"/>
    <x:tableColumn id="11" name="alternative_successor_url"/>
    <x:tableColumn id="12" name="evidence_scope"/>
    <x:tableColumn id="13" name="other_linked_candidate_id"/>
    <x:tableColumn id="14" name="other_algorithm"/>
    <x:tableColumn id="15" name="other_candidate_label"/>
    <x:tableColumn id="16" name="other_candidate_confidence"/>
    <x:tableColumn id="17" name="other_candidate_notes"/>
    <x:tableColumn id="18" name="other_candidat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0864fa2a9b5046ba" /></Relationships>
</file>

<file path=xl/worksheets/sheet1.xml><?xml version="1.0" encoding="utf-8"?>
<x:worksheet xmlns:x="http://schemas.openxmlformats.org/spreadsheetml/2006/main">
  <x:cols>
    <x:col min="1" max="1" width="10" customWidth="1"/>
    <x:col min="2" max="2" width="28" customWidth="1"/>
    <x:col min="3" max="3" width="24" hidden="0" customWidth="1"/>
    <x:col min="4" max="4" width="15" hidden="0" customWidth="1"/>
    <x:col min="5" max="5" width="19" hidden="0" customWidth="1"/>
    <x:col min="6" max="6" width="13" hidden="0" customWidth="1"/>
    <x:col min="7" max="7" width="58" hidden="0" customWidth="1"/>
    <x:col min="8" max="8" width="18" customWidth="1"/>
    <x:col min="9" max="9" width="18" customWidth="1"/>
    <x:col min="10" max="10" width="16" customWidth="1"/>
    <x:col min="11" max="11" width="16" customWidth="1"/>
    <x:col min="12" max="12" width="16" customWidth="1"/>
    <x:col min="13" max="13" width="16" customWidth="1"/>
    <x:col min="14" max="14" width="34" customWidth="1"/>
    <x:col min="15" max="15" width="16" customWidth="1"/>
    <x:col min="16" max="16" width="16" customWidth="1"/>
    <x:col min="17" max="17" width="16" customWidth="1"/>
    <x:col min="18" max="18" width="16" customWidth="1"/>
    <x:col min="19" max="19" width="16" customWidth="1"/>
    <x:col min="20" max="20" width="16" customWidth="1"/>
    <x:col min="21" max="21" width="16" customWidth="1"/>
    <x:col min="22" max="22" width="16" customWidth="1"/>
    <x:col min="23" max="23" width="16" customWidth="1"/>
    <x:col min="24" max="24" width="16" customWidth="1"/>
    <x:col min="25" max="25" width="16" customWidth="1"/>
    <x:col min="26" max="26" width="16" customWidth="1"/>
    <x:col min="27" max="27" width="16" customWidth="1"/>
    <x:col min="28" max="28" width="16" customWidth="1"/>
    <x:col min="29" max="29" width="16" customWidth="1"/>
    <x:col min="30" max="30" width="16" customWidth="1"/>
    <x:col min="31" max="31" width="70" customWidth="1"/>
    <x:col min="32" max="32" width="70" customWidth="1"/>
    <x:col min="33" max="33" width="16" customWidth="1"/>
    <x:col min="34" max="34" width="16" customWidth="1"/>
    <x:col min="35" max="35" width="16" customWidth="1"/>
  </x:cols>
  <x:sheetData>
    <x:row r="1">
      <x:c r="A1" s="1" t="inlineStr">
        <x:is>
          <x:t xml:space="preserve">case_id</x:t>
        </x:is>
      </x:c>
      <x:c r="B1" s="1" t="inlineStr">
        <x:is>
          <x:t xml:space="preserve">audit_stratum</x:t>
        </x:is>
      </x:c>
      <x:c r="C1" s="1" t="inlineStr">
        <x:is>
          <x:t xml:space="preserve">reviewer_label</x:t>
        </x:is>
      </x:c>
      <x:c r="D1" s="1" t="inlineStr">
        <x:is>
          <x:t xml:space="preserve">reviewer_confidence</x:t>
        </x:is>
      </x:c>
      <x:c r="E1" s="1" t="inlineStr">
        <x:is>
          <x:t xml:space="preserve">needs_second_review</x:t>
        </x:is>
      </x:c>
      <x:c r="F1" s="1" t="inlineStr">
        <x:is>
          <x:t xml:space="preserve">review_date</x:t>
        </x:is>
      </x:c>
      <x:c r="G1" s="1" t="inlineStr">
        <x:is>
          <x:t xml:space="preserve">reviewer_notes</x:t>
        </x:is>
      </x:c>
      <x:c r="H1" s="1" t="inlineStr">
        <x:is>
          <x:t xml:space="preserve">source_notice_id</x:t>
        </x:is>
      </x:c>
      <x:c r="I1" s="1" t="inlineStr">
        <x:is>
          <x:t xml:space="preserve">candidate_notice_id</x:t>
        </x:is>
      </x:c>
      <x:c r="J1" s="1" t="inlineStr">
        <x:is>
          <x:t xml:space="preserve">gbm_candidate_notice_id</x:t>
        </x:is>
      </x:c>
      <x:c r="K1" s="1" t="inlineStr">
        <x:is>
          <x:t xml:space="preserve">composite_candidate_notice_id</x:t>
        </x:is>
      </x:c>
      <x:c r="L1" s="1" t="inlineStr">
        <x:is>
          <x:t xml:space="preserve">gbm_decision</x:t>
        </x:is>
      </x:c>
      <x:c r="M1" s="1" t="inlineStr">
        <x:is>
          <x:t xml:space="preserve">composite_decision</x:t>
        </x:is>
      </x:c>
      <x:c r="N1" s="1" t="inlineStr">
        <x:is>
          <x:t xml:space="preserve">buyer_name</x:t>
        </x:is>
      </x:c>
      <x:c r="O1" s="1" t="inlineStr">
        <x:is>
          <x:t xml:space="preserve">buyer_key_type</x:t>
        </x:is>
      </x:c>
      <x:c r="P1" s="1" t="inlineStr">
        <x:is>
          <x:t xml:space="preserve">buyer_n_sources</x:t>
        </x:is>
      </x:c>
      <x:c r="Q1" s="1" t="inlineStr">
        <x:is>
          <x:t xml:space="preserve">source_date</x:t>
        </x:is>
      </x:c>
      <x:c r="R1" s="1" t="inlineStr">
        <x:is>
          <x:t xml:space="preserve">candidate_date</x:t>
        </x:is>
      </x:c>
      <x:c r="S1" s="1" t="inlineStr">
        <x:is>
          <x:t xml:space="preserve">gap_months</x:t>
        </x:is>
      </x:c>
      <x:c r="T1" s="1" t="inlineStr">
        <x:is>
          <x:t xml:space="preserve">source_cpv</x:t>
        </x:is>
      </x:c>
      <x:c r="U1" s="1" t="inlineStr">
        <x:is>
          <x:t xml:space="preserve">category_label</x:t>
        </x:is>
      </x:c>
      <x:c r="V1" s="1" t="inlineStr">
        <x:is>
          <x:t xml:space="preserve">duration_imputed</x:t>
        </x:is>
      </x:c>
      <x:c r="W1" s="1" t="inlineStr">
        <x:is>
          <x:t xml:space="preserve">s_text</x:t>
        </x:is>
      </x:c>
      <x:c r="X1" s="1" t="inlineStr">
        <x:is>
          <x:t xml:space="preserve">s_cpv</x:t>
        </x:is>
      </x:c>
      <x:c r="Y1" s="1" t="inlineStr">
        <x:is>
          <x:t xml:space="preserve">s_time</x:t>
        </x:is>
      </x:c>
      <x:c r="Z1" s="1" t="inlineStr">
        <x:is>
          <x:t xml:space="preserve">s_buyer</x:t>
        </x:is>
      </x:c>
      <x:c r="AA1" s="1" t="inlineStr">
        <x:is>
          <x:t xml:space="preserve">composite_score</x:t>
        </x:is>
      </x:c>
      <x:c r="AB1" s="1" t="inlineStr">
        <x:is>
          <x:t xml:space="preserve">gbm_score</x:t>
        </x:is>
      </x:c>
      <x:c r="AC1" s="1" t="inlineStr">
        <x:is>
          <x:t xml:space="preserve">top1_top2_margin</x:t>
        </x:is>
      </x:c>
      <x:c r="AD1" s="1" t="inlineStr">
        <x:is>
          <x:t xml:space="preserve">n_candidates_for_source</x:t>
        </x:is>
      </x:c>
      <x:c r="AE1" s="1" t="inlineStr">
        <x:is>
          <x:t xml:space="preserve">source_text</x:t>
        </x:is>
      </x:c>
      <x:c r="AF1" s="1" t="inlineStr">
        <x:is>
          <x:t xml:space="preserve">candidate_text</x:t>
        </x:is>
      </x:c>
      <x:c r="AG1" s="1" t="inlineStr">
        <x:is>
          <x:t xml:space="preserve">reason_code</x:t>
        </x:is>
      </x:c>
      <x:c r="AH1" s="1" t="inlineStr">
        <x:is>
          <x:t xml:space="preserve">rule_version</x:t>
        </x:is>
      </x:c>
      <x:c r="AI1" s="1" t="inlineStr">
        <x:is>
          <x:t xml:space="preserve">benchmark_version</x:t>
        </x:is>
      </x:c>
    </x:row>
    <x:row r="2" ht="48" customHeight="1">
      <x:c r="A2" s="4" t="inlineStr">
        <x:is>
          <x:t xml:space="preserve">AUDIT-001</x:t>
        </x:is>
      </x:c>
      <x:c r="B2" s="4" t="inlineStr">
        <x:is>
          <x:t xml:space="preserve">gbm_and_composite</x:t>
        </x:is>
      </x:c>
      <x:c r="C2" s="4" t="str">
        <x:v>CORRECT_LINK</x:v>
      </x:c>
      <x:c r="D2" s="4" t="str">
        <x:v>MEDIUM</x:v>
      </x:c>
      <x:c r="E2" s="4" t="str">
        <x:v>TRUE</x:v>
      </x:c>
      <x:c r="F2" s="5" t="n">
        <x:v>46240</x:v>
      </x:c>
      <x:c r="G2" s="6" t="str">
        <x:v>The candidate is the finance-software need that appeared as lot 1 of the eight-lot source notice. Same buyer, same functional lot and a later separate initial notice make a lot relaunch/continuation plausible; BOAMP does not explicitly link the notices.</x:v>
      </x:c>
      <x:c r="H2" t="inlineStr">
        <x:is>
          <x:t xml:space="preserve">17-134974</x:t>
        </x:is>
      </x:c>
      <x:c r="I2" t="inlineStr">
        <x:is>
          <x:t xml:space="preserve">18-73911</x:t>
        </x:is>
      </x:c>
      <x:c r="J2" t="inlineStr">
        <x:is>
          <x:t xml:space="preserve">18-73911</x:t>
        </x:is>
      </x:c>
      <x:c r="K2" t="inlineStr">
        <x:is>
          <x:t xml:space="preserve">18-73911</x:t>
        </x:is>
      </x:c>
      <x:c r="L2" t="inlineStr">
        <x:is>
          <x:t xml:space="preserve">LINKED</x:t>
        </x:is>
      </x:c>
      <x:c r="M2" t="inlineStr">
        <x:is>
          <x:t xml:space="preserve">LINKED</x:t>
        </x:is>
      </x:c>
      <x:c r="N2" t="inlineStr">
        <x:is>
          <x:t xml:space="preserve">ville de Bouchemaine</x:t>
        </x:is>
      </x:c>
      <x:c r="O2" t="inlineStr">
        <x:is>
          <x:t xml:space="preserve">NAME_FALLBACK</x:t>
        </x:is>
      </x:c>
      <x:c r="P2" t="inlineStr">
        <x:is>
          <x:t xml:space="preserve">3</x:t>
        </x:is>
      </x:c>
      <x:c r="Q2" t="inlineStr">
        <x:is>
          <x:t xml:space="preserve">2017-09-25</x:t>
        </x:is>
      </x:c>
      <x:c r="R2" t="inlineStr">
        <x:is>
          <x:t xml:space="preserve">2018-06-07</x:t>
        </x:is>
      </x:c>
      <x:c r="S2" t="inlineStr">
        <x:is>
          <x:t xml:space="preserve">8.377135348226018</x:t>
        </x:is>
      </x:c>
      <x:c r="T2" t="inlineStr">
        <x:is>
          <x:t xml:space="preserve"/>
        </x:is>
      </x:c>
      <x:c r="U2" t="inlineStr">
        <x:is>
          <x:t xml:space="preserve">DIGITAL_ICT</x:t>
        </x:is>
      </x:c>
      <x:c r="V2" t="inlineStr">
        <x:is>
          <x:t xml:space="preserve">True</x:t>
        </x:is>
      </x:c>
      <x:c r="W2" t="inlineStr">
        <x:is>
          <x:t xml:space="preserve">0.5278759841311622</x:t>
        </x:is>
      </x:c>
      <x:c r="X2" t="inlineStr">
        <x:is>
          <x:t xml:space="preserve">0.1</x:t>
        </x:is>
      </x:c>
      <x:c r="Y2" t="inlineStr">
        <x:is>
          <x:t xml:space="preserve">0.5948313622426631</x:t>
        </x:is>
      </x:c>
      <x:c r="Z2" t="inlineStr">
        <x:is>
          <x:t xml:space="preserve">0.6</x:t>
        </x:is>
      </x:c>
      <x:c r="AA2" t="inlineStr">
        <x:is>
          <x:t xml:space="preserve">0.4234644350065725</x:t>
        </x:is>
      </x:c>
      <x:c r="AB2" t="inlineStr">
        <x:is>
          <x:t xml:space="preserve">0.5351223228708686</x:t>
        </x:is>
      </x:c>
      <x:c r="AC2" t="inlineStr">
        <x:is>
          <x:t xml:space="preserve">0.4234644350065725</x:t>
        </x:is>
      </x:c>
      <x:c r="AD2" t="inlineStr">
        <x:is>
          <x:t xml:space="preserve">1</x:t>
        </x:is>
      </x:c>
      <x:c r="AE2" s="2" t="inlineStr">
        <x:is>
          <x:t xml:space="preserve">Fourniture et maintenance de logiciels métiers de la commune de Bouchemaine</x:t>
        </x:is>
      </x:c>
      <x:c r="AF2" s="2" t="inlineStr">
        <x:is>
          <x:t xml:space="preserve">fourniture et maintenance d'un logiciel métier finances pour la commune de bouchemaine</x:t>
        </x:is>
      </x:c>
      <x:c r="AG2" t="inlineStr">
        <x:is>
          <x:t xml:space="preserve">GBM_AND_COMPOSITE</x:t>
        </x:is>
      </x:c>
      <x:c r="AH2" t="inlineStr">
        <x:is>
          <x:t xml:space="preserve">primary_gbm@0.230964__baseline_composite@0.343167</x:t>
        </x:is>
      </x:c>
      <x:c r="AI2" t="inlineStr">
        <x:is>
          <x:t xml:space="preserve">real_boamp_layer1</x:t>
        </x:is>
      </x:c>
    </x:row>
    <x:row r="3" ht="48" customHeight="1">
      <x:c r="A3" s="4" t="inlineStr">
        <x:is>
          <x:t xml:space="preserve">AUDIT-002</x:t>
        </x:is>
      </x:c>
      <x:c r="B3" s="4" t="inlineStr">
        <x:is>
          <x:t xml:space="preserve">gbm_and_composite</x:t>
        </x:is>
      </x:c>
      <x:c r="C3" s="4" t="str">
        <x:v>WRONG_LINK</x:v>
      </x:c>
      <x:c r="D3" s="4" t="str">
        <x:v>MEDIUM</x:v>
      </x:c>
      <x:c r="E3" s="4" t="str">
        <x:v>TRUE</x:v>
      </x:c>
      <x:c r="F3" s="5" t="n">
        <x:v>46240</x:v>
      </x:c>
      <x:c r="G3" s="6" t="str">
        <x:v>The source is 'Maintenance et support technique du logiciel Business Object et 360 View et prestations associées' while the candidate is 'Fourniture, maintenance des logiciels et produits ESRI et prestations associées'. The concrete functions/equipment are materially different; same buyer and broad digital/CPV similarity do not establish a renewal or relaunch.</x:v>
      </x:c>
      <x:c r="H3" t="inlineStr">
        <x:is>
          <x:t xml:space="preserve">17-139193</x:t>
        </x:is>
      </x:c>
      <x:c r="I3" t="inlineStr">
        <x:is>
          <x:t xml:space="preserve">17-159853</x:t>
        </x:is>
      </x:c>
      <x:c r="J3" t="inlineStr">
        <x:is>
          <x:t xml:space="preserve">17-159853</x:t>
        </x:is>
      </x:c>
      <x:c r="K3" t="inlineStr">
        <x:is>
          <x:t xml:space="preserve">17-159853</x:t>
        </x:is>
      </x:c>
      <x:c r="L3" t="inlineStr">
        <x:is>
          <x:t xml:space="preserve">LINKED</x:t>
        </x:is>
      </x:c>
      <x:c r="M3" t="inlineStr">
        <x:is>
          <x:t xml:space="preserve">LINKED</x:t>
        </x:is>
      </x:c>
      <x:c r="N3" t="inlineStr">
        <x:is>
          <x:t xml:space="preserve">Angers Loire Métropole</x:t>
        </x:is>
      </x:c>
      <x:c r="O3" t="inlineStr">
        <x:is>
          <x:t xml:space="preserve">NAME_FALLBACK</x:t>
        </x:is>
      </x:c>
      <x:c r="P3" t="inlineStr">
        <x:is>
          <x:t xml:space="preserve">61</x:t>
        </x:is>
      </x:c>
      <x:c r="Q3" t="inlineStr">
        <x:is>
          <x:t xml:space="preserve">2017-10-04</x:t>
        </x:is>
      </x:c>
      <x:c r="R3" t="inlineStr">
        <x:is>
          <x:t xml:space="preserve">2017-11-13</x:t>
        </x:is>
      </x:c>
      <x:c r="S3" t="inlineStr">
        <x:is>
          <x:t xml:space="preserve">1.314060446780552</x:t>
        </x:is>
      </x:c>
      <x:c r="T3" t="inlineStr">
        <x:is>
          <x:t xml:space="preserve">72267000.0</x:t>
        </x:is>
      </x:c>
      <x:c r="U3" t="inlineStr">
        <x:is>
          <x:t xml:space="preserve">DIGITAL_ICT</x:t>
        </x:is>
      </x:c>
      <x:c r="V3" t="inlineStr">
        <x:is>
          <x:t xml:space="preserve">True</x:t>
        </x:is>
      </x:c>
      <x:c r="W3" t="inlineStr">
        <x:is>
          <x:t xml:space="preserve">0.1410946318206214</x:t>
        </x:is>
      </x:c>
      <x:c r="X3" t="inlineStr">
        <x:is>
          <x:t xml:space="preserve">0.8</x:t>
        </x:is>
      </x:c>
      <x:c r="Y3" t="inlineStr">
        <x:is>
          <x:t xml:space="preserve">0.22251423565484</x:t>
        </x:is>
      </x:c>
      <x:c r="Z3" t="inlineStr">
        <x:is>
          <x:t xml:space="preserve">0.6</x:t>
        </x:is>
      </x:c>
      <x:c r="AA3" t="inlineStr">
        <x:is>
          <x:t xml:space="preserve">0.4050116800509275</x:t>
        </x:is>
      </x:c>
      <x:c r="AB3" t="inlineStr">
        <x:is>
          <x:t xml:space="preserve">0.6148984656292993</x:t>
        </x:is>
      </x:c>
      <x:c r="AC3" t="inlineStr">
        <x:is>
          <x:t xml:space="preserve">0.1049859781264856</x:t>
        </x:is>
      </x:c>
      <x:c r="AD3" t="inlineStr">
        <x:is>
          <x:t xml:space="preserve">12</x:t>
        </x:is>
      </x:c>
      <x:c r="AE3" s="2" t="inlineStr">
        <x:is>
          <x:t xml:space="preserve">Maintenance et support technique du logiciel Business Object et 360 View et prestations associées</x:t>
        </x:is>
      </x:c>
      <x:c r="AF3" s="2" t="inlineStr">
        <x:is>
          <x:t xml:space="preserve">Fourniture, maintenance des logiciels et produits ESRI et prestations associées</x:t>
        </x:is>
      </x:c>
      <x:c r="AG3" t="inlineStr">
        <x:is>
          <x:t xml:space="preserve">GBM_AND_COMPOSITE</x:t>
        </x:is>
      </x:c>
      <x:c r="AH3" t="inlineStr">
        <x:is>
          <x:t xml:space="preserve">primary_gbm@0.230964__baseline_composite@0.343167</x:t>
        </x:is>
      </x:c>
      <x:c r="AI3" t="inlineStr">
        <x:is>
          <x:t xml:space="preserve">real_boamp_layer1</x:t>
        </x:is>
      </x:c>
    </x:row>
    <x:row r="4" ht="48" customHeight="1">
      <x:c r="A4" s="4" t="inlineStr">
        <x:is>
          <x:t xml:space="preserve">AUDIT-003</x:t>
        </x:is>
      </x:c>
      <x:c r="B4" s="4" t="inlineStr">
        <x:is>
          <x:t xml:space="preserve">gbm_and_composite</x:t>
        </x:is>
      </x:c>
      <x:c r="C4" s="4" t="str">
        <x:v>WRONG_LINK</x:v>
      </x:c>
      <x:c r="D4" s="4" t="str">
        <x:v>HIGH</x:v>
      </x:c>
      <x:c r="E4" s="4" t="str">
        <x:v>FALSE</x:v>
      </x:c>
      <x:c r="F4" s="5" t="n">
        <x:v>46240</x:v>
      </x:c>
      <x:c r="G4" s="6" t="str">
        <x:v>The source is 'création d'un système d'information des données abonnés et patrimoine du service public d'eau potable (relance de la procédure à la su…' while the candidate is 'Développement d'un outil de gestion dynamique des retenues - Département de la Vendée'. The concrete functions/equipment are materially different; same buyer and broad digital/CPV similarity do not establish a renewal or relaunch.</x:v>
      </x:c>
      <x:c r="H4" t="inlineStr">
        <x:is>
          <x:t xml:space="preserve">15-192276</x:t>
        </x:is>
      </x:c>
      <x:c r="I4" t="inlineStr">
        <x:is>
          <x:t xml:space="preserve">16-94711</x:t>
        </x:is>
      </x:c>
      <x:c r="J4" t="inlineStr">
        <x:is>
          <x:t xml:space="preserve">16-94711</x:t>
        </x:is>
      </x:c>
      <x:c r="K4" t="inlineStr">
        <x:is>
          <x:t xml:space="preserve">16-94711</x:t>
        </x:is>
      </x:c>
      <x:c r="L4" t="inlineStr">
        <x:is>
          <x:t xml:space="preserve">LINKED</x:t>
        </x:is>
      </x:c>
      <x:c r="M4" t="inlineStr">
        <x:is>
          <x:t xml:space="preserve">LINKED</x:t>
        </x:is>
      </x:c>
      <x:c r="N4" t="inlineStr">
        <x:is>
          <x:t xml:space="preserve">Vendée Eau</x:t>
        </x:is>
      </x:c>
      <x:c r="O4" t="inlineStr">
        <x:is>
          <x:t xml:space="preserve">NAME_FALLBACK</x:t>
        </x:is>
      </x:c>
      <x:c r="P4" t="inlineStr">
        <x:is>
          <x:t xml:space="preserve">16</x:t>
        </x:is>
      </x:c>
      <x:c r="Q4" t="inlineStr">
        <x:is>
          <x:t xml:space="preserve">2016-02-05</x:t>
        </x:is>
      </x:c>
      <x:c r="R4" t="inlineStr">
        <x:is>
          <x:t xml:space="preserve">2016-07-04</x:t>
        </x:is>
      </x:c>
      <x:c r="S4" t="inlineStr">
        <x:is>
          <x:t xml:space="preserve">4.92772667542707</x:t>
        </x:is>
      </x:c>
      <x:c r="T4" t="inlineStr">
        <x:is>
          <x:t xml:space="preserve">48900000.0</x:t>
        </x:is>
      </x:c>
      <x:c r="U4" t="inlineStr">
        <x:is>
          <x:t xml:space="preserve">DIGITAL_ICT</x:t>
        </x:is>
      </x:c>
      <x:c r="V4" t="inlineStr">
        <x:is>
          <x:t xml:space="preserve">True</x:t>
        </x:is>
      </x:c>
      <x:c r="W4" t="inlineStr">
        <x:is>
          <x:t xml:space="preserve">0.0367841550534658</x:t>
        </x:is>
      </x:c>
      <x:c r="X4" t="inlineStr">
        <x:is>
          <x:t xml:space="preserve">1.0</x:t>
        </x:is>
      </x:c>
      <x:c r="Y4" t="inlineStr">
        <x:is>
          <x:t xml:space="preserve">0.1841874726237407</x:t>
        </x:is>
      </x:c>
      <x:c r="Z4" t="inlineStr">
        <x:is>
          <x:t xml:space="preserve">0.6</x:t>
        </x:is>
      </x:c>
      <x:c r="AA4" t="inlineStr">
        <x:is>
          <x:t xml:space="preserve">0.4189213224246482</x:t>
        </x:is>
      </x:c>
      <x:c r="AB4" t="inlineStr">
        <x:is>
          <x:t xml:space="preserve">0.9349229833995556</x:t>
        </x:is>
      </x:c>
      <x:c r="AC4" t="inlineStr">
        <x:is>
          <x:t xml:space="preserve">0.0945803920689609</x:t>
        </x:is>
      </x:c>
      <x:c r="AD4" t="inlineStr">
        <x:is>
          <x:t xml:space="preserve">3</x:t>
        </x:is>
      </x:c>
      <x:c r="AE4" s="2" t="inlineStr">
        <x:is>
          <x:t xml:space="preserve">création d'un système d'information des données abonnés et patrimoine du service public d'eau potable (relance de la procédure à la suite d'une déclaration sans suite) à La Roche- sur-Yon</x:t>
        </x:is>
      </x:c>
      <x:c r="AF4" s="2" t="inlineStr">
        <x:is>
          <x:t xml:space="preserve">Développement d'un outil de gestion dynamique des retenues - Département de la Vendée</x:t>
        </x:is>
      </x:c>
      <x:c r="AG4" t="inlineStr">
        <x:is>
          <x:t xml:space="preserve">GBM_AND_COMPOSITE</x:t>
        </x:is>
      </x:c>
      <x:c r="AH4" t="inlineStr">
        <x:is>
          <x:t xml:space="preserve">primary_gbm@0.230964__baseline_composite@0.343167</x:t>
        </x:is>
      </x:c>
      <x:c r="AI4" t="inlineStr">
        <x:is>
          <x:t xml:space="preserve">real_boamp_layer1</x:t>
        </x:is>
      </x:c>
    </x:row>
    <x:row r="5" ht="48" customHeight="1">
      <x:c r="A5" s="4" t="inlineStr">
        <x:is>
          <x:t xml:space="preserve">AUDIT-004</x:t>
        </x:is>
      </x:c>
      <x:c r="B5" s="4" t="inlineStr">
        <x:is>
          <x:t xml:space="preserve">gbm_and_composite</x:t>
        </x:is>
      </x:c>
      <x:c r="C5" s="4" t="str">
        <x:v>WRONG_LINK</x:v>
      </x:c>
      <x:c r="D5" s="4" t="str">
        <x:v>HIGH</x:v>
      </x:c>
      <x:c r="E5" s="4" t="str">
        <x:v>FALSE</x:v>
      </x:c>
      <x:c r="F5" s="5" t="n">
        <x:v>46240</x:v>
      </x:c>
      <x:c r="G5" s="6" t="str">
        <x:v>The source is 'tierce maintenance applicative sur géonantes, portail géographique intranet, extranet et internet de nantes métropole (maintien en con…' while the candidate is 'tierce maintenance applicative du système d'information ressources (s.i.r.h.) pour le compte de nantes métropole'. The concrete functions/equipment are materially different; same buyer and broad digital/CPV similarity do not establish a renewal or relaunch.</x:v>
      </x:c>
      <x:c r="H5" t="inlineStr">
        <x:is>
          <x:t xml:space="preserve">17-76616</x:t>
        </x:is>
      </x:c>
      <x:c r="I5" t="inlineStr">
        <x:is>
          <x:t xml:space="preserve">17-129614</x:t>
        </x:is>
      </x:c>
      <x:c r="J5" t="inlineStr">
        <x:is>
          <x:t xml:space="preserve">17-129614</x:t>
        </x:is>
      </x:c>
      <x:c r="K5" t="inlineStr">
        <x:is>
          <x:t xml:space="preserve">17-106009</x:t>
        </x:is>
      </x:c>
      <x:c r="L5" t="inlineStr">
        <x:is>
          <x:t xml:space="preserve">LINKED</x:t>
        </x:is>
      </x:c>
      <x:c r="M5" t="inlineStr">
        <x:is>
          <x:t xml:space="preserve">LINKED</x:t>
        </x:is>
      </x:c>
      <x:c r="N5" t="inlineStr">
        <x:is>
          <x:t xml:space="preserve">Nantes Métropole</x:t>
        </x:is>
      </x:c>
      <x:c r="O5" t="inlineStr">
        <x:is>
          <x:t xml:space="preserve">NAME_FALLBACK</x:t>
        </x:is>
      </x:c>
      <x:c r="P5" t="inlineStr">
        <x:is>
          <x:t xml:space="preserve">182</x:t>
        </x:is>
      </x:c>
      <x:c r="Q5" t="inlineStr">
        <x:is>
          <x:t xml:space="preserve">2017-06-03</x:t>
        </x:is>
      </x:c>
      <x:c r="R5" t="inlineStr">
        <x:is>
          <x:t xml:space="preserve">2017-12-21</x:t>
        </x:is>
      </x:c>
      <x:c r="S5" t="inlineStr">
        <x:is>
          <x:t xml:space="preserve">6.603153745072273</x:t>
        </x:is>
      </x:c>
      <x:c r="T5" t="inlineStr">
        <x:is>
          <x:t xml:space="preserve">72250000.0</x:t>
        </x:is>
      </x:c>
      <x:c r="U5" t="inlineStr">
        <x:is>
          <x:t xml:space="preserve">DIGITAL_ICT</x:t>
        </x:is>
      </x:c>
      <x:c r="V5" t="inlineStr">
        <x:is>
          <x:t xml:space="preserve">True</x:t>
        </x:is>
      </x:c>
      <x:c r="W5" t="inlineStr">
        <x:is>
          <x:t xml:space="preserve">0.214962581706752</x:t>
        </x:is>
      </x:c>
      <x:c r="X5" t="inlineStr">
        <x:is>
          <x:t xml:space="preserve">1.0</x:t>
        </x:is>
      </x:c>
      <x:c r="Y5" t="inlineStr">
        <x:is>
          <x:t xml:space="preserve">0.9014454664914586</x:t>
        </x:is>
      </x:c>
      <x:c r="Z5" t="inlineStr">
        <x:is>
          <x:t xml:space="preserve">0.6</x:t>
        </x:is>
      </x:c>
      <x:c r="AA5" t="inlineStr">
        <x:is>
          <x:t xml:space="preserve">0.6605982702202278</x:t>
        </x:is>
      </x:c>
      <x:c r="AB5" t="inlineStr">
        <x:is>
          <x:t xml:space="preserve">0.9403995208541638</x:t>
        </x:is>
      </x:c>
      <x:c r="AC5" t="inlineStr">
        <x:is>
          <x:t xml:space="preserve">0.121456044278239</x:t>
        </x:is>
      </x:c>
      <x:c r="AD5" t="inlineStr">
        <x:is>
          <x:t xml:space="preserve">27</x:t>
        </x:is>
      </x:c>
      <x:c r="AE5" s="2" t="inlineStr">
        <x:is>
          <x:t xml:space="preserve">tierce maintenance applicative sur géonantes, portail géographique intranet, extranet et internet de nantes métropole (maintien en conditions opérationnelles et évolutions)</x:t>
        </x:is>
      </x:c>
      <x:c r="AF5" s="2" t="inlineStr">
        <x:is>
          <x:t xml:space="preserve">tierce maintenance applicative du système d'information ressources (s.i.r.h.) pour le compte de nantes métropole</x:t>
        </x:is>
      </x:c>
      <x:c r="AG5" t="inlineStr">
        <x:is>
          <x:t xml:space="preserve">GBM_AND_COMPOSITE</x:t>
        </x:is>
      </x:c>
      <x:c r="AH5" t="inlineStr">
        <x:is>
          <x:t xml:space="preserve">primary_gbm@0.230964__baseline_composite@0.343167</x:t>
        </x:is>
      </x:c>
      <x:c r="AI5" t="inlineStr">
        <x:is>
          <x:t xml:space="preserve">real_boamp_layer1</x:t>
        </x:is>
      </x:c>
    </x:row>
    <x:row r="6" ht="48" customHeight="1">
      <x:c r="A6" s="4" t="inlineStr">
        <x:is>
          <x:t xml:space="preserve">AUDIT-005</x:t>
        </x:is>
      </x:c>
      <x:c r="B6" s="4" t="inlineStr">
        <x:is>
          <x:t xml:space="preserve">gbm_and_composite</x:t>
        </x:is>
      </x:c>
      <x:c r="C6" s="4" t="str">
        <x:v>WRONG_LINK</x:v>
      </x:c>
      <x:c r="D6" s="4" t="str">
        <x:v>HIGH</x:v>
      </x:c>
      <x:c r="E6" s="4" t="str">
        <x:v>FALSE</x:v>
      </x:c>
      <x:c r="F6" s="5" t="n">
        <x:v>46240</x:v>
      </x:c>
      <x:c r="G6" s="6" t="str">
        <x:v>The source is '17S0075 - Travaux d'installation d'équipements audiovisuels dans le cadre de la modernisation ou la création de salles de réunion pour…' while the candidate is '18s0030 fourniture d'un équipement d'inspection télévisée des réseaux d'assainissement et d'un logiciel d'édition des rapports d'inspe…'. The concrete functions/equipment are materially different; same buyer and broad digital/CPV similarity do not establish a renewal or relaunch.</x:v>
      </x:c>
      <x:c r="H6" t="inlineStr">
        <x:is>
          <x:t xml:space="preserve">17-161606</x:t>
        </x:is>
      </x:c>
      <x:c r="I6" t="inlineStr">
        <x:is>
          <x:t xml:space="preserve">18-55179</x:t>
        </x:is>
      </x:c>
      <x:c r="J6" t="inlineStr">
        <x:is>
          <x:t xml:space="preserve">18-55179</x:t>
        </x:is>
      </x:c>
      <x:c r="K6" t="inlineStr">
        <x:is>
          <x:t xml:space="preserve">18-55179</x:t>
        </x:is>
      </x:c>
      <x:c r="L6" t="inlineStr">
        <x:is>
          <x:t xml:space="preserve">LINKED</x:t>
        </x:is>
      </x:c>
      <x:c r="M6" t="inlineStr">
        <x:is>
          <x:t xml:space="preserve">LINKED</x:t>
        </x:is>
      </x:c>
      <x:c r="N6" t="inlineStr">
        <x:is>
          <x:t xml:space="preserve">CARENE</x:t>
        </x:is>
      </x:c>
      <x:c r="O6" t="inlineStr">
        <x:is>
          <x:t xml:space="preserve">NAME_FALLBACK</x:t>
        </x:is>
      </x:c>
      <x:c r="P6" t="inlineStr">
        <x:is>
          <x:t xml:space="preserve">9</x:t>
        </x:is>
      </x:c>
      <x:c r="Q6" t="inlineStr">
        <x:is>
          <x:t xml:space="preserve">2017-11-23</x:t>
        </x:is>
      </x:c>
      <x:c r="R6" t="inlineStr">
        <x:is>
          <x:t xml:space="preserve">2018-04-27</x:t>
        </x:is>
      </x:c>
      <x:c r="S6" t="inlineStr">
        <x:is>
          <x:t xml:space="preserve">5.091984231274639</x:t>
        </x:is>
      </x:c>
      <x:c r="T6" t="inlineStr">
        <x:is>
          <x:t xml:space="preserve">32321200.0</x:t>
        </x:is>
      </x:c>
      <x:c r="U6" t="inlineStr">
        <x:is>
          <x:t xml:space="preserve">DIGITAL_ICT</x:t>
        </x:is>
      </x:c>
      <x:c r="V6" t="inlineStr">
        <x:is>
          <x:t xml:space="preserve">True</x:t>
        </x:is>
      </x:c>
      <x:c r="W6" t="inlineStr">
        <x:is>
          <x:t xml:space="preserve">0.1247095529549985</x:t>
        </x:is>
      </x:c>
      <x:c r="X6" t="inlineStr">
        <x:is>
          <x:t xml:space="preserve">0.2</x:t>
        </x:is>
      </x:c>
      <x:c r="Y6" t="inlineStr">
        <x:is>
          <x:t xml:space="preserve">0.8083661848445028</x:t>
        </x:is>
      </x:c>
      <x:c r="Z6" t="inlineStr">
        <x:is>
          <x:t xml:space="preserve">0.6</x:t>
        </x:is>
      </x:c>
      <x:c r="AA6" t="inlineStr">
        <x:is>
          <x:t xml:space="preserve">0.3657398897453752</x:t>
        </x:is>
      </x:c>
      <x:c r="AB6" t="inlineStr">
        <x:is>
          <x:t xml:space="preserve">0.2639571512570136</x:t>
        </x:is>
      </x:c>
      <x:c r="AC6" t="inlineStr">
        <x:is>
          <x:t xml:space="preserve">0.0932973905353717</x:t>
        </x:is>
      </x:c>
      <x:c r="AD6" t="inlineStr">
        <x:is>
          <x:t xml:space="preserve">2</x:t>
        </x:is>
      </x:c>
      <x:c r="AE6" s="2" t="inlineStr">
        <x:is>
          <x:t xml:space="preserve">17S0075 - Travaux d'installation d'équipements audiovisuels dans le cadre de la modernisation ou la création de salles de réunion pour la Carene</x:t>
        </x:is>
      </x:c>
      <x:c r="AF6" s="2" t="inlineStr">
        <x:is>
          <x:t xml:space="preserve">18s0030 fourniture d'un équipement d'inspection télévisée des réseaux d'assainissement et d'un logiciel d'édition des rapports d'inspection pour la carene</x:t>
        </x:is>
      </x:c>
      <x:c r="AG6" t="inlineStr">
        <x:is>
          <x:t xml:space="preserve">GBM_AND_COMPOSITE</x:t>
        </x:is>
      </x:c>
      <x:c r="AH6" t="inlineStr">
        <x:is>
          <x:t xml:space="preserve">primary_gbm@0.230964__baseline_composite@0.343167</x:t>
        </x:is>
      </x:c>
      <x:c r="AI6" t="inlineStr">
        <x:is>
          <x:t xml:space="preserve">real_boamp_layer1</x:t>
        </x:is>
      </x:c>
    </x:row>
    <x:row r="7" ht="48" customHeight="1">
      <x:c r="A7" s="4" t="inlineStr">
        <x:is>
          <x:t xml:space="preserve">AUDIT-006</x:t>
        </x:is>
      </x:c>
      <x:c r="B7" s="4" t="inlineStr">
        <x:is>
          <x:t xml:space="preserve">gbm_and_composite</x:t>
        </x:is>
      </x:c>
      <x:c r="C7" s="4" t="str">
        <x:v>WRONG_LINK</x:v>
      </x:c>
      <x:c r="D7" s="4" t="str">
        <x:v>HIGH</x:v>
      </x:c>
      <x:c r="E7" s="4" t="str">
        <x:v>FALSE</x:v>
      </x:c>
      <x:c r="F7" s="5" t="n">
        <x:v>46240</x:v>
      </x:c>
      <x:c r="G7" s="6" t="str">
        <x:v>The candidate is an official RECTIFICATIF linked to the source notice, not a new contract or renewal. Treating a corrected version as a survival event is incorrect.</x:v>
      </x:c>
      <x:c r="H7" t="inlineStr">
        <x:is>
          <x:t xml:space="preserve">21-124527</x:t>
        </x:is>
      </x:c>
      <x:c r="I7" t="inlineStr">
        <x:is>
          <x:t xml:space="preserve">21-130046</x:t>
        </x:is>
      </x:c>
      <x:c r="J7" t="inlineStr">
        <x:is>
          <x:t xml:space="preserve">21-130046</x:t>
        </x:is>
      </x:c>
      <x:c r="K7" t="inlineStr">
        <x:is>
          <x:t xml:space="preserve">21-130046</x:t>
        </x:is>
      </x:c>
      <x:c r="L7" t="inlineStr">
        <x:is>
          <x:t xml:space="preserve">LINKED</x:t>
        </x:is>
      </x:c>
      <x:c r="M7" t="inlineStr">
        <x:is>
          <x:t xml:space="preserve">LINKED</x:t>
        </x:is>
      </x:c>
      <x:c r="N7" t="inlineStr">
        <x:is>
          <x:t xml:space="preserve">GPM de Nantes - St Nazaire</x:t>
        </x:is>
      </x:c>
      <x:c r="O7" t="inlineStr">
        <x:is>
          <x:t xml:space="preserve">NAME_FALLBACK</x:t>
        </x:is>
      </x:c>
      <x:c r="P7" t="inlineStr">
        <x:is>
          <x:t xml:space="preserve">28</x:t>
        </x:is>
      </x:c>
      <x:c r="Q7" t="inlineStr">
        <x:is>
          <x:t xml:space="preserve">2021-09-16</x:t>
        </x:is>
      </x:c>
      <x:c r="R7" t="inlineStr">
        <x:is>
          <x:t xml:space="preserve">2021-09-29</x:t>
        </x:is>
      </x:c>
      <x:c r="S7" t="inlineStr">
        <x:is>
          <x:t xml:space="preserve">0.4270696452036793</x:t>
        </x:is>
      </x:c>
      <x:c r="T7" t="inlineStr">
        <x:is>
          <x:t xml:space="preserve">48332000.0</x:t>
        </x:is>
      </x:c>
      <x:c r="U7" t="inlineStr">
        <x:is>
          <x:t xml:space="preserve">DIGITAL_ICT</x:t>
        </x:is>
      </x:c>
      <x:c r="V7" t="inlineStr">
        <x:is>
          <x:t xml:space="preserve">True</x:t>
        </x:is>
      </x:c>
      <x:c r="W7" t="inlineStr">
        <x:is>
          <x:t xml:space="preserve">1.0000000000000004</x:t>
        </x:is>
      </x:c>
      <x:c r="X7" t="inlineStr">
        <x:is>
          <x:t xml:space="preserve">1.0</x:t>
        </x:is>
      </x:c>
      <x:c r="Y7" t="inlineStr">
        <x:is>
          <x:t xml:space="preserve">0.0801576872536137</x:t>
        </x:is>
      </x:c>
      <x:c r="Z7" t="inlineStr">
        <x:is>
          <x:t xml:space="preserve">0.6</x:t>
        </x:is>
      </x:c>
      <x:c r="AA7" t="inlineStr">
        <x:is>
          <x:t xml:space="preserve">0.7300394218134036</x:t>
        </x:is>
      </x:c>
      <x:c r="AB7" t="inlineStr">
        <x:is>
          <x:t xml:space="preserve">0.4858591373128311</x:t>
        </x:is>
      </x:c>
      <x:c r="AC7" t="inlineStr">
        <x:is>
          <x:t xml:space="preserve">0.4447836692120347</x:t>
        </x:is>
      </x:c>
      <x:c r="AD7" t="inlineStr">
        <x:is>
          <x:t xml:space="preserve">2</x:t>
        </x:is>
      </x:c>
      <x:c r="AE7" s="2" t="inlineStr">
        <x:is>
          <x:t xml:space="preserve">Mise en oeuvre d'un logiciel de gestion des bordées.</x:t>
        </x:is>
      </x:c>
      <x:c r="AF7" s="2" t="inlineStr">
        <x:is>
          <x:t xml:space="preserve">Mise en oeuvre d'un logiciel de gestion des bordées.</x:t>
        </x:is>
      </x:c>
      <x:c r="AG7" t="inlineStr">
        <x:is>
          <x:t xml:space="preserve">GBM_AND_COMPOSITE</x:t>
        </x:is>
      </x:c>
      <x:c r="AH7" t="inlineStr">
        <x:is>
          <x:t xml:space="preserve">primary_gbm@0.230964__baseline_composite@0.343167</x:t>
        </x:is>
      </x:c>
      <x:c r="AI7" t="inlineStr">
        <x:is>
          <x:t xml:space="preserve">real_boamp_layer1</x:t>
        </x:is>
      </x:c>
    </x:row>
    <x:row r="8" ht="48" customHeight="1">
      <x:c r="A8" s="4" t="inlineStr">
        <x:is>
          <x:t xml:space="preserve">AUDIT-007</x:t>
        </x:is>
      </x:c>
      <x:c r="B8" s="4" t="inlineStr">
        <x:is>
          <x:t xml:space="preserve">gbm_and_composite</x:t>
        </x:is>
      </x:c>
      <x:c r="C8" s="4" t="str">
        <x:v>WRONG_LINK</x:v>
      </x:c>
      <x:c r="D8" s="4" t="str">
        <x:v>MEDIUM</x:v>
      </x:c>
      <x:c r="E8" s="4" t="str">
        <x:v>TRUE</x:v>
      </x:c>
      <x:c r="F8" s="5" t="n">
        <x:v>46240</x:v>
      </x:c>
      <x:c r="G8" s="6" t="str">
        <x:v>The source is 'Fourniture et maintenance des logiciels Business Geografic (CIRIL GROUP), prestations annexes et de support pour le compte d'Angers Lo…' while the candidate is 'Acquisition, maintenance et prestations associées d'une solution de paiement dématérialisé du stationnement payant sur voirie à Angers'. The concrete functions/equipment are materially different; same buyer and broad digital/CPV similarity do not establish a renewal or relaunch.</x:v>
      </x:c>
      <x:c r="H8" t="inlineStr">
        <x:is>
          <x:t xml:space="preserve">16-45870</x:t>
        </x:is>
      </x:c>
      <x:c r="I8" t="inlineStr">
        <x:is>
          <x:t xml:space="preserve">16-70219</x:t>
        </x:is>
      </x:c>
      <x:c r="J8" t="inlineStr">
        <x:is>
          <x:t xml:space="preserve">16-70219</x:t>
        </x:is>
      </x:c>
      <x:c r="K8" t="inlineStr">
        <x:is>
          <x:t xml:space="preserve">16-70219</x:t>
        </x:is>
      </x:c>
      <x:c r="L8" t="inlineStr">
        <x:is>
          <x:t xml:space="preserve">LINKED</x:t>
        </x:is>
      </x:c>
      <x:c r="M8" t="inlineStr">
        <x:is>
          <x:t xml:space="preserve">LINKED</x:t>
        </x:is>
      </x:c>
      <x:c r="N8" t="inlineStr">
        <x:is>
          <x:t xml:space="preserve">Angers Loire Métropole</x:t>
        </x:is>
      </x:c>
      <x:c r="O8" t="inlineStr">
        <x:is>
          <x:t xml:space="preserve">NAME_FALLBACK</x:t>
        </x:is>
      </x:c>
      <x:c r="P8" t="inlineStr">
        <x:is>
          <x:t xml:space="preserve">61</x:t>
        </x:is>
      </x:c>
      <x:c r="Q8" t="inlineStr">
        <x:is>
          <x:t xml:space="preserve">2016-03-30</x:t>
        </x:is>
      </x:c>
      <x:c r="R8" t="inlineStr">
        <x:is>
          <x:t xml:space="preserve">2016-05-17</x:t>
        </x:is>
      </x:c>
      <x:c r="S8" t="inlineStr">
        <x:is>
          <x:t xml:space="preserve">1.5768725361366622</x:t>
        </x:is>
      </x:c>
      <x:c r="T8" t="inlineStr">
        <x:is>
          <x:t xml:space="preserve">72267100.0</x:t>
        </x:is>
      </x:c>
      <x:c r="U8" t="inlineStr">
        <x:is>
          <x:t xml:space="preserve">DIGITAL_ICT</x:t>
        </x:is>
      </x:c>
      <x:c r="V8" t="inlineStr">
        <x:is>
          <x:t xml:space="preserve">True</x:t>
        </x:is>
      </x:c>
      <x:c r="W8" t="inlineStr">
        <x:is>
          <x:t xml:space="preserve">0.0771266674825798</x:t>
        </x:is>
      </x:c>
      <x:c r="X8" t="inlineStr">
        <x:is>
          <x:t xml:space="preserve">1.0</x:t>
        </x:is>
      </x:c>
      <x:c r="Y8" t="inlineStr">
        <x:is>
          <x:t xml:space="preserve">0.2553657468243538</x:t>
        </x:is>
      </x:c>
      <x:c r="Z8" t="inlineStr">
        <x:is>
          <x:t xml:space="preserve">0.6</x:t>
        </x:is>
      </x:c>
      <x:c r="AA8" t="inlineStr">
        <x:is>
          <x:t xml:space="preserve">0.4508357703249914</x:t>
        </x:is>
      </x:c>
      <x:c r="AB8" t="inlineStr">
        <x:is>
          <x:t xml:space="preserve">0.8490238826920968</x:t>
        </x:is>
      </x:c>
      <x:c r="AC8" t="inlineStr">
        <x:is>
          <x:t xml:space="preserve">0.0338758581004445</x:t>
        </x:is>
      </x:c>
      <x:c r="AD8" t="inlineStr">
        <x:is>
          <x:t xml:space="preserve">12</x:t>
        </x:is>
      </x:c>
      <x:c r="AE8" s="2" t="inlineStr">
        <x:is>
          <x:t xml:space="preserve">Fourniture et maintenance des logiciels Business Geografic (CIRIL GROUP), prestations annexes et de support pour le compte d'Angers Loire Métropole, à Angers</x:t>
        </x:is>
      </x:c>
      <x:c r="AF8" s="2" t="inlineStr">
        <x:is>
          <x:t xml:space="preserve">Acquisition, maintenance et prestations associées d'une solution de paiement dématérialisé du stationnement payant sur voirie à Angers</x:t>
        </x:is>
      </x:c>
      <x:c r="AG8" t="inlineStr">
        <x:is>
          <x:t xml:space="preserve">GBM_AND_COMPOSITE</x:t>
        </x:is>
      </x:c>
      <x:c r="AH8" t="inlineStr">
        <x:is>
          <x:t xml:space="preserve">primary_gbm@0.230964__baseline_composite@0.343167</x:t>
        </x:is>
      </x:c>
      <x:c r="AI8" t="inlineStr">
        <x:is>
          <x:t xml:space="preserve">real_boamp_layer1</x:t>
        </x:is>
      </x:c>
    </x:row>
    <x:row r="9" ht="48" customHeight="1">
      <x:c r="A9" s="4" t="inlineStr">
        <x:is>
          <x:t xml:space="preserve">AUDIT-008</x:t>
        </x:is>
      </x:c>
      <x:c r="B9" s="4" t="inlineStr">
        <x:is>
          <x:t xml:space="preserve">gbm_and_composite</x:t>
        </x:is>
      </x:c>
      <x:c r="C9" s="4" t="str">
        <x:v>WRONG_LINK</x:v>
      </x:c>
      <x:c r="D9" s="4" t="str">
        <x:v>HIGH</x:v>
      </x:c>
      <x:c r="E9" s="4" t="str">
        <x:v>FALSE</x:v>
      </x:c>
      <x:c r="F9" s="5" t="n">
        <x:v>46240</x:v>
      </x:c>
      <x:c r="G9" s="6" t="str">
        <x:v>The source is 'FOURNITURE ET MAINTENANCE D'UNE SOLUTION INFORMATISEE DE GESTION DES CHECK-LIST DE BLOCS OPERATOIRES' while the candidate is 'Fourniture, Installation, Paramétrage, Intégration, Déploiement et Maintenance d'une solution d'automatisation de la prise en charge d…'. The concrete functions/equipment are materially different; same buyer and broad digital/CPV similarity do not establish a renewal or relaunch.</x:v>
      </x:c>
      <x:c r="H9" t="inlineStr">
        <x:is>
          <x:t xml:space="preserve">17-9361</x:t>
        </x:is>
      </x:c>
      <x:c r="I9" t="inlineStr">
        <x:is>
          <x:t xml:space="preserve">17-35545</x:t>
        </x:is>
      </x:c>
      <x:c r="J9" t="inlineStr">
        <x:is>
          <x:t xml:space="preserve">17-35545</x:t>
        </x:is>
      </x:c>
      <x:c r="K9" t="inlineStr">
        <x:is>
          <x:t xml:space="preserve">17-35545</x:t>
        </x:is>
      </x:c>
      <x:c r="L9" t="inlineStr">
        <x:is>
          <x:t xml:space="preserve">LINKED</x:t>
        </x:is>
      </x:c>
      <x:c r="M9" t="inlineStr">
        <x:is>
          <x:t xml:space="preserve">LINKED</x:t>
        </x:is>
      </x:c>
      <x:c r="N9" t="inlineStr">
        <x:is>
          <x:t xml:space="preserve">CHU de Nantes</x:t>
        </x:is>
      </x:c>
      <x:c r="O9" t="inlineStr">
        <x:is>
          <x:t xml:space="preserve">NAME_FALLBACK</x:t>
        </x:is>
      </x:c>
      <x:c r="P9" t="inlineStr">
        <x:is>
          <x:t xml:space="preserve">70</x:t>
        </x:is>
      </x:c>
      <x:c r="Q9" t="inlineStr">
        <x:is>
          <x:t xml:space="preserve">2017-01-19</x:t>
        </x:is>
      </x:c>
      <x:c r="R9" t="inlineStr">
        <x:is>
          <x:t xml:space="preserve">2017-03-16</x:t>
        </x:is>
      </x:c>
      <x:c r="S9" t="inlineStr">
        <x:is>
          <x:t xml:space="preserve">1.8396846254927728</x:t>
        </x:is>
      </x:c>
      <x:c r="T9" t="inlineStr">
        <x:is>
          <x:t xml:space="preserve">48814300.0</x:t>
        </x:is>
      </x:c>
      <x:c r="U9" t="inlineStr">
        <x:is>
          <x:t xml:space="preserve">DIGITAL_ICT</x:t>
        </x:is>
      </x:c>
      <x:c r="V9" t="inlineStr">
        <x:is>
          <x:t xml:space="preserve">True</x:t>
        </x:is>
      </x:c>
      <x:c r="W9" t="inlineStr">
        <x:is>
          <x:t xml:space="preserve">0.1122271996826206</x:t>
        </x:is>
      </x:c>
      <x:c r="X9" t="inlineStr">
        <x:is>
          <x:t xml:space="preserve">0.8</x:t>
        </x:is>
      </x:c>
      <x:c r="Y9" t="inlineStr">
        <x:is>
          <x:t xml:space="preserve">0.3155935173017958</x:t>
        </x:is>
      </x:c>
      <x:c r="Z9" t="inlineStr">
        <x:is>
          <x:t xml:space="preserve">0.6</x:t>
        </x:is>
      </x:c>
      <x:c r="AA9" t="inlineStr">
        <x:is>
          <x:t xml:space="preserve">0.4181778992143661</x:t>
        </x:is>
      </x:c>
      <x:c r="AB9" t="inlineStr">
        <x:is>
          <x:t xml:space="preserve">0.6339046140074496</x:t>
        </x:is>
      </x:c>
      <x:c r="AC9" t="inlineStr">
        <x:is>
          <x:t xml:space="preserve">0.0682493609517466</x:t>
        </x:is>
      </x:c>
      <x:c r="AD9" t="inlineStr">
        <x:is>
          <x:t xml:space="preserve">11</x:t>
        </x:is>
      </x:c>
      <x:c r="AE9" s="2" t="inlineStr">
        <x:is>
          <x:t xml:space="preserve">FOURNITURE ET MAINTENANCE D'UNE SOLUTION INFORMATISEE DE GESTION DES CHECK-LIST DE BLOCS OPERATOIRES</x:t>
        </x:is>
      </x:c>
      <x:c r="AF9" s="2" t="inlineStr">
        <x:is>
          <x:t xml:space="preserve">Fourniture, Installation, Paramétrage, Intégration, Déploiement et Maintenance d'une solution d'automatisation de la prise en charge d'un patient dans les services de médecine nucléaire</x:t>
        </x:is>
      </x:c>
      <x:c r="AG9" t="inlineStr">
        <x:is>
          <x:t xml:space="preserve">GBM_AND_COMPOSITE</x:t>
        </x:is>
      </x:c>
      <x:c r="AH9" t="inlineStr">
        <x:is>
          <x:t xml:space="preserve">primary_gbm@0.230964__baseline_composite@0.343167</x:t>
        </x:is>
      </x:c>
      <x:c r="AI9" t="inlineStr">
        <x:is>
          <x:t xml:space="preserve">real_boamp_layer1</x:t>
        </x:is>
      </x:c>
    </x:row>
    <x:row r="10" ht="48" customHeight="1">
      <x:c r="A10" s="4" t="inlineStr">
        <x:is>
          <x:t xml:space="preserve">AUDIT-009</x:t>
        </x:is>
      </x:c>
      <x:c r="B10" s="4" t="inlineStr">
        <x:is>
          <x:t xml:space="preserve">gbm_and_composite</x:t>
        </x:is>
      </x:c>
      <x:c r="C10" s="4" t="str">
        <x:v>CORRECT_LINK</x:v>
      </x:c>
      <x:c r="D10" s="4" t="str">
        <x:v>HIGH</x:v>
      </x:c>
      <x:c r="E10" s="4" t="str">
        <x:v>FALSE</x:v>
      </x:c>
      <x:c r="F10" s="5" t="n">
        <x:v>46240</x:v>
      </x:c>
      <x:c r="G10" s="6" t="str">
        <x:v>The candidate explicitly states that it is the relaunch of consultation 2022061514mcb, which was lot 2 of the source notice for the public-terminal management system. Buyer SIRET and CPV 48160000 also agree.</x:v>
      </x:c>
      <x:c r="H10" t="inlineStr">
        <x:is>
          <x:t xml:space="preserve">22-94809</x:t>
        </x:is>
      </x:c>
      <x:c r="I10" t="inlineStr">
        <x:is>
          <x:t xml:space="preserve">23-70584</x:t>
        </x:is>
      </x:c>
      <x:c r="J10" t="inlineStr">
        <x:is>
          <x:t xml:space="preserve">23-70584</x:t>
        </x:is>
      </x:c>
      <x:c r="K10" t="inlineStr">
        <x:is>
          <x:t xml:space="preserve">23-70584</x:t>
        </x:is>
      </x:c>
      <x:c r="L10" t="inlineStr">
        <x:is>
          <x:t xml:space="preserve">LINKED</x:t>
        </x:is>
      </x:c>
      <x:c r="M10" t="inlineStr">
        <x:is>
          <x:t xml:space="preserve">LINKED</x:t>
        </x:is>
      </x:c>
      <x:c r="N10" t="inlineStr">
        <x:is>
          <x:t xml:space="preserve">COM D AGGLO REG NAZAIRIENNE ESTUAIRE</x:t>
        </x:is>
      </x:c>
      <x:c r="O10" t="inlineStr">
        <x:is>
          <x:t xml:space="preserve">RAW_SIRET</x:t>
        </x:is>
      </x:c>
      <x:c r="P10" t="inlineStr">
        <x:is>
          <x:t xml:space="preserve">10</x:t>
        </x:is>
      </x:c>
      <x:c r="Q10" t="inlineStr">
        <x:is>
          <x:t xml:space="preserve">2022-07-08</x:t>
        </x:is>
      </x:c>
      <x:c r="R10" t="inlineStr">
        <x:is>
          <x:t xml:space="preserve">2023-05-24</x:t>
        </x:is>
      </x:c>
      <x:c r="S10" t="inlineStr">
        <x:is>
          <x:t xml:space="preserve">10.512483574244415</x:t>
        </x:is>
      </x:c>
      <x:c r="T10" t="inlineStr">
        <x:is>
          <x:t xml:space="preserve">48160000.0</x:t>
        </x:is>
      </x:c>
      <x:c r="U10" t="inlineStr">
        <x:is>
          <x:t xml:space="preserve">DIGITAL_ICT</x:t>
        </x:is>
      </x:c>
      <x:c r="V10" t="inlineStr">
        <x:is>
          <x:t xml:space="preserve">True</x:t>
        </x:is>
      </x:c>
      <x:c r="W10" t="inlineStr">
        <x:is>
          <x:t xml:space="preserve">0.4514647026095493</x:t>
        </x:is>
      </x:c>
      <x:c r="X10" t="inlineStr">
        <x:is>
          <x:t xml:space="preserve">1.0</x:t>
        </x:is>
      </x:c>
      <x:c r="Y10" t="inlineStr">
        <x:is>
          <x:t xml:space="preserve">0.7700394218134035</x:t>
        </x:is>
      </x:c>
      <x:c r="Z10" t="inlineStr">
        <x:is>
          <x:t xml:space="preserve">1.0</x:t>
        </x:is>
      </x:c>
      <x:c r="AA10" t="inlineStr">
        <x:is>
          <x:t xml:space="preserve">0.7505225013666931</x:t>
        </x:is>
      </x:c>
      <x:c r="AB10" t="inlineStr">
        <x:is>
          <x:t xml:space="preserve">0.9209318435316564</x:t>
        </x:is>
      </x:c>
      <x:c r="AC10" t="inlineStr">
        <x:is>
          <x:t xml:space="preserve">0.250708277937392</x:t>
        </x:is>
      </x:c>
      <x:c r="AD10" t="inlineStr">
        <x:is>
          <x:t xml:space="preserve">4</x:t>
        </x:is>
      </x:c>
      <x:c r="AE10" s="2" t="inlineStr">
        <x:is>
          <x:t xml:space="preserve">Fourniture, mise en oeuvre, maintenance d'un système intégré de gestion de bibliothèque, d'un portail documentaire web,d'un système de gestion des terminaux publics pour le réseau d</x:t>
        </x:is>
      </x:c>
      <x:c r="AF10" s="2" t="inlineStr">
        <x:is>
          <x:t xml:space="preserve">Système de gestion des terminaux publics pour le réseau des bibliothèques de la Carene</x:t>
        </x:is>
      </x:c>
      <x:c r="AG10" t="inlineStr">
        <x:is>
          <x:t xml:space="preserve">GBM_AND_COMPOSITE</x:t>
        </x:is>
      </x:c>
      <x:c r="AH10" t="inlineStr">
        <x:is>
          <x:t xml:space="preserve">primary_gbm@0.230964__baseline_composite@0.343167</x:t>
        </x:is>
      </x:c>
      <x:c r="AI10" t="inlineStr">
        <x:is>
          <x:t xml:space="preserve">real_boamp_layer1</x:t>
        </x:is>
      </x:c>
    </x:row>
    <x:row r="11" ht="48" customHeight="1">
      <x:c r="A11" s="4" t="inlineStr">
        <x:is>
          <x:t xml:space="preserve">AUDIT-010</x:t>
        </x:is>
      </x:c>
      <x:c r="B11" s="4" t="inlineStr">
        <x:is>
          <x:t xml:space="preserve">gbm_and_composite</x:t>
        </x:is>
      </x:c>
      <x:c r="C11" s="4" t="str">
        <x:v>WRONG_LINK</x:v>
      </x:c>
      <x:c r="D11" s="4" t="str">
        <x:v>MEDIUM</x:v>
      </x:c>
      <x:c r="E11" s="4" t="str">
        <x:v>TRUE</x:v>
      </x:c>
      <x:c r="F11" s="5" t="n">
        <x:v>46240</x:v>
      </x:c>
      <x:c r="G11" s="6" t="str">
        <x:v>The source is 'services de téléphonie fixe analogique et numérique de base et services de téléphonie fixe secondaire pour les établissements départem…' while the candidate is 'services de télécommunications, téléphonie et réseau numérique pour l'ensemble d..'. The concrete functions/equipment are materially different; same buyer and broad digital/CPV similarity do not establish a renewal or relaunch.</x:v>
      </x:c>
      <x:c r="H11" t="inlineStr">
        <x:is>
          <x:t xml:space="preserve">15-86342</x:t>
        </x:is>
      </x:c>
      <x:c r="I11" t="inlineStr">
        <x:is>
          <x:t xml:space="preserve">16-63741</x:t>
        </x:is>
      </x:c>
      <x:c r="J11" t="inlineStr">
        <x:is>
          <x:t xml:space="preserve">16-63741</x:t>
        </x:is>
      </x:c>
      <x:c r="K11" t="inlineStr">
        <x:is>
          <x:t xml:space="preserve">16-63741</x:t>
        </x:is>
      </x:c>
      <x:c r="L11" t="inlineStr">
        <x:is>
          <x:t xml:space="preserve">LINKED</x:t>
        </x:is>
      </x:c>
      <x:c r="M11" t="inlineStr">
        <x:is>
          <x:t xml:space="preserve">LINKED</x:t>
        </x:is>
      </x:c>
      <x:c r="N11" t="inlineStr">
        <x:is>
          <x:t xml:space="preserve">Conseil général de Loire-Atlantique</x:t>
        </x:is>
      </x:c>
      <x:c r="O11" t="inlineStr">
        <x:is>
          <x:t xml:space="preserve">NAME_FALLBACK</x:t>
        </x:is>
      </x:c>
      <x:c r="P11" t="inlineStr">
        <x:is>
          <x:t xml:space="preserve">16</x:t>
        </x:is>
      </x:c>
      <x:c r="Q11" t="inlineStr">
        <x:is>
          <x:t xml:space="preserve">2015-06-05</x:t>
        </x:is>
      </x:c>
      <x:c r="R11" t="inlineStr">
        <x:is>
          <x:t xml:space="preserve">2016-05-05</x:t>
        </x:is>
      </x:c>
      <x:c r="S11" t="inlineStr">
        <x:is>
          <x:t xml:space="preserve">11.00525624178712</x:t>
        </x:is>
      </x:c>
      <x:c r="T11" t="inlineStr">
        <x:is>
          <x:t xml:space="preserve">64210000.0</x:t>
        </x:is>
      </x:c>
      <x:c r="U11" t="inlineStr">
        <x:is>
          <x:t xml:space="preserve">DIGITAL_ICT</x:t>
        </x:is>
      </x:c>
      <x:c r="V11" t="inlineStr">
        <x:is>
          <x:t xml:space="preserve">True</x:t>
        </x:is>
      </x:c>
      <x:c r="W11" t="inlineStr">
        <x:is>
          <x:t xml:space="preserve">0.2282287432313073</x:t>
        </x:is>
      </x:c>
      <x:c r="X11" t="inlineStr">
        <x:is>
          <x:t xml:space="preserve">1.0</x:t>
        </x:is>
      </x:c>
      <x:c r="Y11" t="inlineStr">
        <x:is>
          <x:t xml:space="preserve">0.9123959702146298</x:t>
        </x:is>
      </x:c>
      <x:c r="Z11" t="inlineStr">
        <x:is>
          <x:t xml:space="preserve">0.6</x:t>
        </x:is>
      </x:c>
      <x:c r="AA11" t="inlineStr">
        <x:is>
          <x:t xml:space="preserve">0.667979052684615</x:t>
        </x:is>
      </x:c>
      <x:c r="AB11" t="inlineStr">
        <x:is>
          <x:t xml:space="preserve">0.9212533926413246</x:t>
        </x:is>
      </x:c>
      <x:c r="AC11" t="inlineStr">
        <x:is>
          <x:t xml:space="preserve">0.3640634197521137</x:t>
        </x:is>
      </x:c>
      <x:c r="AD11" t="inlineStr">
        <x:is>
          <x:t xml:space="preserve">10</x:t>
        </x:is>
      </x:c>
      <x:c r="AE11" s="2" t="inlineStr">
        <x:is>
          <x:t xml:space="preserve">services de téléphonie fixe analogique et numérique de base et services de téléphonie fixe secondaire pour les établissements départementaux, à Nantes</x:t>
        </x:is>
      </x:c>
      <x:c r="AF11" s="2" t="inlineStr">
        <x:is>
          <x:t xml:space="preserve">services de télécommunications, téléphonie et réseau numérique pour l'ensemble d..</x:t>
        </x:is>
      </x:c>
      <x:c r="AG11" t="inlineStr">
        <x:is>
          <x:t xml:space="preserve">GBM_AND_COMPOSITE</x:t>
        </x:is>
      </x:c>
      <x:c r="AH11" t="inlineStr">
        <x:is>
          <x:t xml:space="preserve">primary_gbm@0.230964__baseline_composite@0.343167</x:t>
        </x:is>
      </x:c>
      <x:c r="AI11" t="inlineStr">
        <x:is>
          <x:t xml:space="preserve">real_boamp_layer1</x:t>
        </x:is>
      </x:c>
    </x:row>
    <x:row r="12" ht="48" customHeight="1">
      <x:c r="A12" s="4" t="inlineStr">
        <x:is>
          <x:t xml:space="preserve">AUDIT-011</x:t>
        </x:is>
      </x:c>
      <x:c r="B12" s="4" t="inlineStr">
        <x:is>
          <x:t xml:space="preserve">gbm_and_composite</x:t>
        </x:is>
      </x:c>
      <x:c r="C12" s="4" t="str">
        <x:v>WRONG_LINK</x:v>
      </x:c>
      <x:c r="D12" s="4" t="str">
        <x:v>HIGH</x:v>
      </x:c>
      <x:c r="E12" s="4" t="str">
        <x:v>FALSE</x:v>
      </x:c>
      <x:c r="F12" s="5" t="n">
        <x:v>46240</x:v>
      </x:c>
      <x:c r="G12" s="6" t="str">
        <x:v>The two eForms notices share the same ContractFolderID and procurement ID; the candidate is version 02 and identifies version 01 as the changed notice. It is a notice update, not a renewal.</x:v>
      </x:c>
      <x:c r="H12" t="inlineStr">
        <x:is>
          <x:t xml:space="preserve">25-110291</x:t>
        </x:is>
      </x:c>
      <x:c r="I12" t="inlineStr">
        <x:is>
          <x:t xml:space="preserve">25-121229</x:t>
        </x:is>
      </x:c>
      <x:c r="J12" t="inlineStr">
        <x:is>
          <x:t xml:space="preserve">25-121229</x:t>
        </x:is>
      </x:c>
      <x:c r="K12" t="inlineStr">
        <x:is>
          <x:t xml:space="preserve">25-121229</x:t>
        </x:is>
      </x:c>
      <x:c r="L12" t="inlineStr">
        <x:is>
          <x:t xml:space="preserve">LINKED</x:t>
        </x:is>
      </x:c>
      <x:c r="M12" t="inlineStr">
        <x:is>
          <x:t xml:space="preserve">LINKED</x:t>
        </x:is>
      </x:c>
      <x:c r="N12" t="inlineStr">
        <x:is>
          <x:t xml:space="preserve">Nantes métropole</x:t>
        </x:is>
      </x:c>
      <x:c r="O12" t="inlineStr">
        <x:is>
          <x:t xml:space="preserve">RAW_SIRET</x:t>
        </x:is>
      </x:c>
      <x:c r="P12" t="inlineStr">
        <x:is>
          <x:t xml:space="preserve">53</x:t>
        </x:is>
      </x:c>
      <x:c r="Q12" t="inlineStr">
        <x:is>
          <x:t xml:space="preserve">2025-10-05</x:t>
        </x:is>
      </x:c>
      <x:c r="R12" t="inlineStr">
        <x:is>
          <x:t xml:space="preserve">2025-10-31</x:t>
        </x:is>
      </x:c>
      <x:c r="S12" t="inlineStr">
        <x:is>
          <x:t xml:space="preserve">0.8541392904073587</x:t>
        </x:is>
      </x:c>
      <x:c r="T12" t="inlineStr">
        <x:is>
          <x:t xml:space="preserve">72500000.0</x:t>
        </x:is>
      </x:c>
      <x:c r="U12" t="inlineStr">
        <x:is>
          <x:t xml:space="preserve">DIGITAL_ICT</x:t>
        </x:is>
      </x:c>
      <x:c r="V12" t="inlineStr">
        <x:is>
          <x:t xml:space="preserve">False</x:t>
        </x:is>
      </x:c>
      <x:c r="W12" t="inlineStr">
        <x:is>
          <x:t xml:space="preserve">1.0</x:t>
        </x:is>
      </x:c>
      <x:c r="X12" t="inlineStr">
        <x:is>
          <x:t xml:space="preserve">1.0</x:t>
        </x:is>
      </x:c>
      <x:c r="Y12" t="inlineStr">
        <x:is>
          <x:t xml:space="preserve">0.3155935173017958</x:t>
        </x:is>
      </x:c>
      <x:c r="Z12" t="inlineStr">
        <x:is>
          <x:t xml:space="preserve">1.0</x:t>
        </x:is>
      </x:c>
      <x:c r="AA12" t="inlineStr">
        <x:is>
          <x:t xml:space="preserve">0.8288983793254489</x:t>
        </x:is>
      </x:c>
      <x:c r="AB12" t="inlineStr">
        <x:is>
          <x:t xml:space="preserve">0.8087544120805777</x:t>
        </x:is>
      </x:c>
      <x:c r="AC12" t="inlineStr">
        <x:is>
          <x:t xml:space="preserve">0.4468936583672837</x:t>
        </x:is>
      </x:c>
      <x:c r="AD12" t="inlineStr">
        <x:is>
          <x:t xml:space="preserve">12</x:t>
        </x:is>
      </x:c>
      <x:c r="AE12" s="2" t="inlineStr">
        <x:is>
          <x:t xml:space="preserve">Accord-cadre mono-attributaire à bons de commande - prestations de maintenance des infrastructures centrales de régulation de trafic</x:t>
        </x:is>
      </x:c>
      <x:c r="AF12" s="2" t="inlineStr">
        <x:is>
          <x:t xml:space="preserve">Accord-cadre mono-attributaire à bons de commande - prestations de maintenance des infrastructures centrales de régulation de trafic</x:t>
        </x:is>
      </x:c>
      <x:c r="AG12" t="inlineStr">
        <x:is>
          <x:t xml:space="preserve">GBM_AND_COMPOSITE</x:t>
        </x:is>
      </x:c>
      <x:c r="AH12" t="inlineStr">
        <x:is>
          <x:t xml:space="preserve">primary_gbm@0.230964__baseline_composite@0.343167</x:t>
        </x:is>
      </x:c>
      <x:c r="AI12" t="inlineStr">
        <x:is>
          <x:t xml:space="preserve">real_boamp_layer1</x:t>
        </x:is>
      </x:c>
    </x:row>
    <x:row r="13" ht="48" customHeight="1">
      <x:c r="A13" s="4" t="inlineStr">
        <x:is>
          <x:t xml:space="preserve">AUDIT-012</x:t>
        </x:is>
      </x:c>
      <x:c r="B13" s="4" t="inlineStr">
        <x:is>
          <x:t xml:space="preserve">gbm_and_composite</x:t>
        </x:is>
      </x:c>
      <x:c r="C13" s="4" t="str">
        <x:v>WRONG_LINK</x:v>
      </x:c>
      <x:c r="D13" s="4" t="str">
        <x:v>HIGH</x:v>
      </x:c>
      <x:c r="E13" s="4" t="str">
        <x:v>FALSE</x:v>
      </x:c>
      <x:c r="F13" s="5" t="n">
        <x:v>46240</x:v>
      </x:c>
      <x:c r="G13" s="6" t="str">
        <x:v>The source is 'Réalisation de modélisations hydrosédimentaires dans le cadre du projet EOLE. lieu : Circonscription du GPMNSN.' while the candidate is 'Etudes en vue de la remotorisation d'un pont basculant à Saint-Nazaire'. The concrete functions/equipment are materially different; same buyer and broad digital/CPV similarity do not establish a renewal or relaunch.</x:v>
      </x:c>
      <x:c r="H13" t="inlineStr">
        <x:is>
          <x:t xml:space="preserve">24-82099</x:t>
        </x:is>
      </x:c>
      <x:c r="I13" t="inlineStr">
        <x:is>
          <x:t xml:space="preserve">24-83982</x:t>
        </x:is>
      </x:c>
      <x:c r="J13" t="inlineStr">
        <x:is>
          <x:t xml:space="preserve">24-83982</x:t>
        </x:is>
      </x:c>
      <x:c r="K13" t="inlineStr">
        <x:is>
          <x:t xml:space="preserve">24-83982</x:t>
        </x:is>
      </x:c>
      <x:c r="L13" t="inlineStr">
        <x:is>
          <x:t xml:space="preserve">LINKED</x:t>
        </x:is>
      </x:c>
      <x:c r="M13" t="inlineStr">
        <x:is>
          <x:t xml:space="preserve">LINKED</x:t>
        </x:is>
      </x:c>
      <x:c r="N13" t="inlineStr">
        <x:is>
          <x:t xml:space="preserve">GRAND PORT MARITIME DE NANTES SAINT NAZAIRE
18, quai Ernest Renaud, Nantes 44186</x:t>
        </x:is>
      </x:c>
      <x:c r="O13" t="inlineStr">
        <x:is>
          <x:t xml:space="preserve">NAME_FALLBACK</x:t>
        </x:is>
      </x:c>
      <x:c r="P13" t="inlineStr">
        <x:is>
          <x:t xml:space="preserve">2</x:t>
        </x:is>
      </x:c>
      <x:c r="Q13" t="inlineStr">
        <x:is>
          <x:t xml:space="preserve">2024-07-11</x:t>
        </x:is>
      </x:c>
      <x:c r="R13" t="inlineStr">
        <x:is>
          <x:t xml:space="preserve">2024-07-16</x:t>
        </x:is>
      </x:c>
      <x:c r="S13" t="inlineStr">
        <x:is>
          <x:t xml:space="preserve">0.164257555847569</x:t>
        </x:is>
      </x:c>
      <x:c r="T13" t="inlineStr">
        <x:is>
          <x:t xml:space="preserve">72242000.0</x:t>
        </x:is>
      </x:c>
      <x:c r="U13" t="inlineStr">
        <x:is>
          <x:t xml:space="preserve">DIGITAL_ICT</x:t>
        </x:is>
      </x:c>
      <x:c r="V13" t="inlineStr">
        <x:is>
          <x:t xml:space="preserve">True</x:t>
        </x:is>
      </x:c>
      <x:c r="W13" t="inlineStr">
        <x:is>
          <x:t xml:space="preserve">0.0032672562178939</x:t>
        </x:is>
      </x:c>
      <x:c r="X13" t="inlineStr">
        <x:is>
          <x:t xml:space="preserve">1.0</x:t>
        </x:is>
      </x:c>
      <x:c r="Y13" t="inlineStr">
        <x:is>
          <x:t xml:space="preserve">0.0199299167761717</x:t>
        </x:is>
      </x:c>
      <x:c r="Z13" t="inlineStr">
        <x:is>
          <x:t xml:space="preserve">0.6</x:t>
        </x:is>
      </x:c>
      <x:c r="AA13" t="inlineStr">
        <x:is>
          <x:t xml:space="preserve">0.3661260188703058</x:t>
        </x:is>
      </x:c>
      <x:c r="AB13" t="inlineStr">
        <x:is>
          <x:t xml:space="preserve">0.7076292002571609</x:t>
        </x:is>
      </x:c>
      <x:c r="AC13" t="inlineStr">
        <x:is>
          <x:t xml:space="preserve">0.3661260188703058</x:t>
        </x:is>
      </x:c>
      <x:c r="AD13" t="inlineStr">
        <x:is>
          <x:t xml:space="preserve">1</x:t>
        </x:is>
      </x:c>
      <x:c r="AE13" s="2" t="inlineStr">
        <x:is>
          <x:t xml:space="preserve">Réalisation de modélisations hydrosédimentaires dans le cadre du projet EOLE. lieu : Circonscription du GPMNSN.</x:t>
        </x:is>
      </x:c>
      <x:c r="AF13" s="2" t="inlineStr">
        <x:is>
          <x:t xml:space="preserve">Etudes en vue de la remotorisation d'un pont basculant à Saint-Nazaire</x:t>
        </x:is>
      </x:c>
      <x:c r="AG13" t="inlineStr">
        <x:is>
          <x:t xml:space="preserve">GBM_AND_COMPOSITE</x:t>
        </x:is>
      </x:c>
      <x:c r="AH13" t="inlineStr">
        <x:is>
          <x:t xml:space="preserve">primary_gbm@0.230964__baseline_composite@0.343167</x:t>
        </x:is>
      </x:c>
      <x:c r="AI13" t="inlineStr">
        <x:is>
          <x:t xml:space="preserve">real_boamp_layer1</x:t>
        </x:is>
      </x:c>
    </x:row>
    <x:row r="14" ht="48" customHeight="1">
      <x:c r="A14" s="4" t="inlineStr">
        <x:is>
          <x:t xml:space="preserve">AUDIT-013</x:t>
        </x:is>
      </x:c>
      <x:c r="B14" s="4" t="inlineStr">
        <x:is>
          <x:t xml:space="preserve">gbm_and_composite</x:t>
        </x:is>
      </x:c>
      <x:c r="C14" s="4" t="str">
        <x:v>CORRECT_LINK</x:v>
      </x:c>
      <x:c r="D14" s="4" t="str">
        <x:v>MEDIUM</x:v>
      </x:c>
      <x:c r="E14" s="4" t="str">
        <x:v>TRUE</x:v>
      </x:c>
      <x:c r="F14" s="5" t="n">
        <x:v>46240</x:v>
      </x:c>
      <x:c r="G14" s="6" t="str">
        <x:v>Both notices concern the same university Wi-Fi infrastructure. The first extends high-density coverage; the later notice refits the high-density Wi-Fi platform and keeps the same main equipment/maintenance CPVs. This is a credible continuation of the same technical need.</x:v>
      </x:c>
      <x:c r="H14" t="inlineStr">
        <x:is>
          <x:t xml:space="preserve">15-102348</x:t>
        </x:is>
      </x:c>
      <x:c r="I14" t="inlineStr">
        <x:is>
          <x:t xml:space="preserve">16-48016</x:t>
        </x:is>
      </x:c>
      <x:c r="J14" t="inlineStr">
        <x:is>
          <x:t xml:space="preserve">16-48016</x:t>
        </x:is>
      </x:c>
      <x:c r="K14" t="inlineStr">
        <x:is>
          <x:t xml:space="preserve">16-48016</x:t>
        </x:is>
      </x:c>
      <x:c r="L14" t="inlineStr">
        <x:is>
          <x:t xml:space="preserve">LINKED</x:t>
        </x:is>
      </x:c>
      <x:c r="M14" t="inlineStr">
        <x:is>
          <x:t xml:space="preserve">LINKED</x:t>
        </x:is>
      </x:c>
      <x:c r="N14" t="inlineStr">
        <x:is>
          <x:t xml:space="preserve">Université de Nantes</x:t>
        </x:is>
      </x:c>
      <x:c r="O14" t="inlineStr">
        <x:is>
          <x:t xml:space="preserve">NAME_FALLBACK</x:t>
        </x:is>
      </x:c>
      <x:c r="P14" t="inlineStr">
        <x:is>
          <x:t xml:space="preserve">53</x:t>
        </x:is>
      </x:c>
      <x:c r="Q14" t="inlineStr">
        <x:is>
          <x:t xml:space="preserve">2015-07-03</x:t>
        </x:is>
      </x:c>
      <x:c r="R14" t="inlineStr">
        <x:is>
          <x:t xml:space="preserve">2016-03-31</x:t>
        </x:is>
      </x:c>
      <x:c r="S14" t="inlineStr">
        <x:is>
          <x:t xml:space="preserve">8.935611038107753</x:t>
        </x:is>
      </x:c>
      <x:c r="T14" t="inlineStr">
        <x:is>
          <x:t xml:space="preserve">32420000.0</x:t>
        </x:is>
      </x:c>
      <x:c r="U14" t="inlineStr">
        <x:is>
          <x:t xml:space="preserve">DIGITAL_ICT</x:t>
        </x:is>
      </x:c>
      <x:c r="V14" t="inlineStr">
        <x:is>
          <x:t xml:space="preserve">True</x:t>
        </x:is>
      </x:c>
      <x:c r="W14" t="inlineStr">
        <x:is>
          <x:t xml:space="preserve">0.2726721156563377</x:t>
        </x:is>
      </x:c>
      <x:c r="X14" t="inlineStr">
        <x:is>
          <x:t xml:space="preserve">1.0</x:t>
        </x:is>
      </x:c>
      <x:c r="Y14" t="inlineStr">
        <x:is>
          <x:t xml:space="preserve">0.8631187034603591</x:t>
        </x:is>
      </x:c>
      <x:c r="Z14" t="inlineStr">
        <x:is>
          <x:t xml:space="preserve">0.6</x:t>
        </x:is>
      </x:c>
      <x:c r="AA14" t="inlineStr">
        <x:is>
          <x:t xml:space="preserve">0.671214916344808</x:t>
        </x:is>
      </x:c>
      <x:c r="AB14" t="inlineStr">
        <x:is>
          <x:t xml:space="preserve">0.9321263702267216</x:t>
        </x:is>
      </x:c>
      <x:c r="AC14" t="inlineStr">
        <x:is>
          <x:t xml:space="preserve">0.1964295053862257</x:t>
        </x:is>
      </x:c>
      <x:c r="AD14" t="inlineStr">
        <x:is>
          <x:t xml:space="preserve">12</x:t>
        </x:is>
      </x:c>
      <x:c r="AE14" s="2" t="inlineStr">
        <x:is>
          <x:t xml:space="preserve">Extension de l'infrastructure Wifi haut débit à l'université de Nantes</x:t>
        </x:is>
      </x:c>
      <x:c r="AF14" s="2" t="inlineStr">
        <x:is>
          <x:t xml:space="preserve">refonte de l'infrastructure WI-FI haute densité de l'université de Nantes</x:t>
        </x:is>
      </x:c>
      <x:c r="AG14" t="inlineStr">
        <x:is>
          <x:t xml:space="preserve">GBM_AND_COMPOSITE</x:t>
        </x:is>
      </x:c>
      <x:c r="AH14" t="inlineStr">
        <x:is>
          <x:t xml:space="preserve">primary_gbm@0.230964__baseline_composite@0.343167</x:t>
        </x:is>
      </x:c>
      <x:c r="AI14" t="inlineStr">
        <x:is>
          <x:t xml:space="preserve">real_boamp_layer1</x:t>
        </x:is>
      </x:c>
    </x:row>
    <x:row r="15" ht="48" customHeight="1">
      <x:c r="A15" s="4" t="inlineStr">
        <x:is>
          <x:t xml:space="preserve">AUDIT-014</x:t>
        </x:is>
      </x:c>
      <x:c r="B15" s="4" t="inlineStr">
        <x:is>
          <x:t xml:space="preserve">gbm_and_composite</x:t>
        </x:is>
      </x:c>
      <x:c r="C15" s="4" t="str">
        <x:v>WRONG_LINK</x:v>
      </x:c>
      <x:c r="D15" s="4" t="str">
        <x:v>HIGH</x:v>
      </x:c>
      <x:c r="E15" s="4" t="str">
        <x:v>FALSE</x:v>
      </x:c>
      <x:c r="F15" s="5" t="n">
        <x:v>46240</x:v>
      </x:c>
      <x:c r="G15" s="6" t="str">
        <x:v>The two eForms notices share the same ContractFolderID and procurement ID; the candidate is version 02 of the source procedure. It is not a distinct successor contract.</x:v>
      </x:c>
      <x:c r="H15" t="inlineStr">
        <x:is>
          <x:t xml:space="preserve">25-109666</x:t>
        </x:is>
      </x:c>
      <x:c r="I15" t="inlineStr">
        <x:is>
          <x:t xml:space="preserve">25-125088</x:t>
        </x:is>
      </x:c>
      <x:c r="J15" t="inlineStr">
        <x:is>
          <x:t xml:space="preserve">25-125088</x:t>
        </x:is>
      </x:c>
      <x:c r="K15" t="inlineStr">
        <x:is>
          <x:t xml:space="preserve">25-125088</x:t>
        </x:is>
      </x:c>
      <x:c r="L15" t="inlineStr">
        <x:is>
          <x:t xml:space="preserve">LINKED</x:t>
        </x:is>
      </x:c>
      <x:c r="M15" t="inlineStr">
        <x:is>
          <x:t xml:space="preserve">LINKED</x:t>
        </x:is>
      </x:c>
      <x:c r="N15" t="inlineStr">
        <x:is>
          <x:t xml:space="preserve">Ville de Nantes</x:t>
        </x:is>
      </x:c>
      <x:c r="O15" t="inlineStr">
        <x:is>
          <x:t xml:space="preserve">RAW_SIRET</x:t>
        </x:is>
      </x:c>
      <x:c r="P15" t="inlineStr">
        <x:is>
          <x:t xml:space="preserve">13</x:t>
        </x:is>
      </x:c>
      <x:c r="Q15" t="inlineStr">
        <x:is>
          <x:t xml:space="preserve">2025-10-04</x:t>
        </x:is>
      </x:c>
      <x:c r="R15" t="inlineStr">
        <x:is>
          <x:t xml:space="preserve">2025-11-12</x:t>
        </x:is>
      </x:c>
      <x:c r="S15" t="inlineStr">
        <x:is>
          <x:t xml:space="preserve">1.281208935611038</x:t>
        </x:is>
      </x:c>
      <x:c r="T15" t="inlineStr">
        <x:is>
          <x:t xml:space="preserve">32323500.0</x:t>
        </x:is>
      </x:c>
      <x:c r="U15" t="inlineStr">
        <x:is>
          <x:t xml:space="preserve">DIGITAL_ICT</x:t>
        </x:is>
      </x:c>
      <x:c r="V15" t="inlineStr">
        <x:is>
          <x:t xml:space="preserve">False</x:t>
        </x:is>
      </x:c>
      <x:c r="W15" t="inlineStr">
        <x:is>
          <x:t xml:space="preserve">0.9999999999999998</x:t>
        </x:is>
      </x:c>
      <x:c r="X15" t="inlineStr">
        <x:is>
          <x:t xml:space="preserve">1.0</x:t>
        </x:is>
      </x:c>
      <x:c r="Y15" t="inlineStr">
        <x:is>
          <x:t xml:space="preserve">0.3867717915024091</x:t>
        </x:is>
      </x:c>
      <x:c r="Z15" t="inlineStr">
        <x:is>
          <x:t xml:space="preserve">1.0</x:t>
        </x:is>
      </x:c>
      <x:c r="AA15" t="inlineStr">
        <x:is>
          <x:t xml:space="preserve">0.8466929478756021</x:t>
        </x:is>
      </x:c>
      <x:c r="AB15" t="inlineStr">
        <x:is>
          <x:t xml:space="preserve">0.8486957280760423</x:t>
        </x:is>
      </x:c>
      <x:c r="AC15" t="inlineStr">
        <x:is>
          <x:t xml:space="preserve">0.3374488909008387</x:t>
        </x:is>
      </x:c>
      <x:c r="AD15" t="inlineStr">
        <x:is>
          <x:t xml:space="preserve">3</x:t>
        </x:is>
      </x:c>
      <x:c r="AE15" s="2" t="inlineStr">
        <x:is>
          <x:t xml:space="preserve">Fourniture de caméras piétons avec accessoires pour les agents de la Police Municipale (Ville de Nantes) et de l'Unité Métropolitaine des Transports en Commun (Nantes Métropole)</x:t>
        </x:is>
      </x:c>
      <x:c r="AF15" s="2" t="inlineStr">
        <x:is>
          <x:t xml:space="preserve">Fourniture de caméras piétons avec accessoires pour les agents de la Police Municipale (Ville de Nantes) et de l'Unité Métropolitaine des Transports en Commun (Nantes Métropole)</x:t>
        </x:is>
      </x:c>
      <x:c r="AG15" t="inlineStr">
        <x:is>
          <x:t xml:space="preserve">GBM_AND_COMPOSITE</x:t>
        </x:is>
      </x:c>
      <x:c r="AH15" t="inlineStr">
        <x:is>
          <x:t xml:space="preserve">primary_gbm@0.230964__baseline_composite@0.343167</x:t>
        </x:is>
      </x:c>
      <x:c r="AI15" t="inlineStr">
        <x:is>
          <x:t xml:space="preserve">real_boamp_layer1</x:t>
        </x:is>
      </x:c>
    </x:row>
    <x:row r="16" ht="48" customHeight="1">
      <x:c r="A16" s="4" t="inlineStr">
        <x:is>
          <x:t xml:space="preserve">AUDIT-015</x:t>
        </x:is>
      </x:c>
      <x:c r="B16" s="4" t="inlineStr">
        <x:is>
          <x:t xml:space="preserve">gbm_and_composite</x:t>
        </x:is>
      </x:c>
      <x:c r="C16" s="4" t="str">
        <x:v>WRONG_LINK</x:v>
      </x:c>
      <x:c r="D16" s="4" t="str">
        <x:v>HIGH</x:v>
      </x:c>
      <x:c r="E16" s="4" t="str">
        <x:v>FALSE</x:v>
      </x:c>
      <x:c r="F16" s="5" t="n">
        <x:v>46240</x:v>
      </x:c>
      <x:c r="G16" s="6" t="str">
        <x:v>The source is 'Abonnement à un logiciel de gestion d'une flotte vélos' while the candidate is 'Acquisition, mise en oeuvre, maintenance et évolution d'un logiciel de recrutement en mode Saas et prestations associées'. The concrete functions/equipment are materially different; same buyer and broad digital/CPV similarity do not establish a renewal or relaunch.</x:v>
      </x:c>
      <x:c r="H16" t="inlineStr">
        <x:is>
          <x:t xml:space="preserve">22-52158</x:t>
        </x:is>
      </x:c>
      <x:c r="I16" t="inlineStr">
        <x:is>
          <x:t xml:space="preserve">22-61807</x:t>
        </x:is>
      </x:c>
      <x:c r="J16" t="inlineStr">
        <x:is>
          <x:t xml:space="preserve">22-61807</x:t>
        </x:is>
      </x:c>
      <x:c r="K16" t="inlineStr">
        <x:is>
          <x:t xml:space="preserve">22-61807</x:t>
        </x:is>
      </x:c>
      <x:c r="L16" t="inlineStr">
        <x:is>
          <x:t xml:space="preserve">LINKED</x:t>
        </x:is>
      </x:c>
      <x:c r="M16" t="inlineStr">
        <x:is>
          <x:t xml:space="preserve">LINKED</x:t>
        </x:is>
      </x:c>
      <x:c r="N16" t="inlineStr">
        <x:is>
          <x:t xml:space="preserve">CD 44</x:t>
        </x:is>
      </x:c>
      <x:c r="O16" t="inlineStr">
        <x:is>
          <x:t xml:space="preserve">RAW_SIRET</x:t>
        </x:is>
      </x:c>
      <x:c r="P16" t="inlineStr">
        <x:is>
          <x:t xml:space="preserve">27</x:t>
        </x:is>
      </x:c>
      <x:c r="Q16" t="inlineStr">
        <x:is>
          <x:t xml:space="preserve">2022-04-11</x:t>
        </x:is>
      </x:c>
      <x:c r="R16" t="inlineStr">
        <x:is>
          <x:t xml:space="preserve">2022-04-29</x:t>
        </x:is>
      </x:c>
      <x:c r="S16" t="inlineStr">
        <x:is>
          <x:t xml:space="preserve">0.5913272010512484</x:t>
        </x:is>
      </x:c>
      <x:c r="T16" t="inlineStr">
        <x:is>
          <x:t xml:space="preserve">72268000.0</x:t>
        </x:is>
      </x:c>
      <x:c r="U16" t="inlineStr">
        <x:is>
          <x:t xml:space="preserve">DIGITAL_ICT</x:t>
        </x:is>
      </x:c>
      <x:c r="V16" t="inlineStr">
        <x:is>
          <x:t xml:space="preserve">True</x:t>
        </x:is>
      </x:c>
      <x:c r="W16" t="inlineStr">
        <x:is>
          <x:t xml:space="preserve">0.1159640952732297</x:t>
        </x:is>
      </x:c>
      <x:c r="X16" t="inlineStr">
        <x:is>
          <x:t xml:space="preserve">1.0</x:t>
        </x:is>
      </x:c>
      <x:c r="Y16" t="inlineStr">
        <x:is>
          <x:t xml:space="preserve">0.0965834428383706</x:t>
        </x:is>
      </x:c>
      <x:c r="Z16" t="inlineStr">
        <x:is>
          <x:t xml:space="preserve">1.0</x:t>
        </x:is>
      </x:c>
      <x:c r="AA16" t="inlineStr">
        <x:is>
          <x:t xml:space="preserve">0.464733294055223</x:t>
        </x:is>
      </x:c>
      <x:c r="AB16" t="inlineStr">
        <x:is>
          <x:t xml:space="preserve">0.654830990641589</x:t>
        </x:is>
      </x:c>
      <x:c r="AC16" t="inlineStr">
        <x:is>
          <x:t xml:space="preserve">0.0549259290917627</x:t>
        </x:is>
      </x:c>
      <x:c r="AD16" t="inlineStr">
        <x:is>
          <x:t xml:space="preserve">14</x:t>
        </x:is>
      </x:c>
      <x:c r="AE16" s="2" t="inlineStr">
        <x:is>
          <x:t xml:space="preserve">Abonnement à un logiciel de gestion d'une flotte vélos</x:t>
        </x:is>
      </x:c>
      <x:c r="AF16" s="2" t="inlineStr">
        <x:is>
          <x:t xml:space="preserve">Acquisition, mise en oeuvre, maintenance et évolution d'un logiciel de recrutement en mode Saas et prestations associées</x:t>
        </x:is>
      </x:c>
      <x:c r="AG16" t="inlineStr">
        <x:is>
          <x:t xml:space="preserve">GBM_AND_COMPOSITE</x:t>
        </x:is>
      </x:c>
      <x:c r="AH16" t="inlineStr">
        <x:is>
          <x:t xml:space="preserve">primary_gbm@0.230964__baseline_composite@0.343167</x:t>
        </x:is>
      </x:c>
      <x:c r="AI16" t="inlineStr">
        <x:is>
          <x:t xml:space="preserve">real_boamp_layer1</x:t>
        </x:is>
      </x:c>
    </x:row>
    <x:row r="17" ht="48" customHeight="1">
      <x:c r="A17" s="4" t="inlineStr">
        <x:is>
          <x:t xml:space="preserve">AUDIT-016</x:t>
        </x:is>
      </x:c>
      <x:c r="B17" s="4" t="inlineStr">
        <x:is>
          <x:t xml:space="preserve">gbm_and_composite</x:t>
        </x:is>
      </x:c>
      <x:c r="C17" s="4" t="str">
        <x:v>WRONG_LINK</x:v>
      </x:c>
      <x:c r="D17" s="4" t="str">
        <x:v>MEDIUM</x:v>
      </x:c>
      <x:c r="E17" s="4" t="str">
        <x:v>TRUE</x:v>
      </x:c>
      <x:c r="F17" s="5" t="n">
        <x:v>46240</x:v>
      </x:c>
      <x:c r="G17" s="6" t="str">
        <x:v>External TED-derived records show different scopes: 16-DIR-UDI-10 is IT project-management support for the SAGT Unifié project, while 16-DIR-UDI-05 is a separate 48-month IT/network service for traffic operations. Related domain, but not the same procurement need.</x:v>
      </x:c>
      <x:c r="H17" t="inlineStr">
        <x:is>
          <x:t xml:space="preserve">17-39457</x:t>
        </x:is>
      </x:c>
      <x:c r="I17" t="inlineStr">
        <x:is>
          <x:t xml:space="preserve">17-136551</x:t>
        </x:is>
      </x:c>
      <x:c r="J17" t="inlineStr">
        <x:is>
          <x:t xml:space="preserve">17-136551</x:t>
        </x:is>
      </x:c>
      <x:c r="K17" t="inlineStr">
        <x:is>
          <x:t xml:space="preserve">17-136551</x:t>
        </x:is>
      </x:c>
      <x:c r="L17" t="inlineStr">
        <x:is>
          <x:t xml:space="preserve">LINKED</x:t>
        </x:is>
      </x:c>
      <x:c r="M17" t="inlineStr">
        <x:is>
          <x:t xml:space="preserve">LINKED</x:t>
        </x:is>
      </x:c>
      <x:c r="N17" t="inlineStr">
        <x:is>
          <x:t xml:space="preserve">DIR INTERDEPARTEMENTALE ROUTES OUEST</x:t>
        </x:is>
      </x:c>
      <x:c r="O17" t="inlineStr">
        <x:is>
          <x:t xml:space="preserve">NAME_FALLBACK</x:t>
        </x:is>
      </x:c>
      <x:c r="P17" t="inlineStr">
        <x:is>
          <x:t xml:space="preserve">4</x:t>
        </x:is>
      </x:c>
      <x:c r="Q17" t="inlineStr">
        <x:is>
          <x:t xml:space="preserve">2017-03-23</x:t>
        </x:is>
      </x:c>
      <x:c r="R17" t="inlineStr">
        <x:is>
          <x:t xml:space="preserve">2017-09-30</x:t>
        </x:is>
      </x:c>
      <x:c r="S17" t="inlineStr">
        <x:is>
          <x:t xml:space="preserve">6.274638633377135</x:t>
        </x:is>
      </x:c>
      <x:c r="T17" t="inlineStr">
        <x:is>
          <x:t xml:space="preserve">72267000.0</x:t>
        </x:is>
      </x:c>
      <x:c r="U17" t="inlineStr">
        <x:is>
          <x:t xml:space="preserve">DIGITAL_ICT</x:t>
        </x:is>
      </x:c>
      <x:c r="V17" t="inlineStr">
        <x:is>
          <x:t xml:space="preserve">True</x:t>
        </x:is>
      </x:c>
      <x:c r="W17" t="inlineStr">
        <x:is>
          <x:t xml:space="preserve">0.8377922746823196</x:t>
        </x:is>
      </x:c>
      <x:c r="X17" t="inlineStr">
        <x:is>
          <x:t xml:space="preserve">1.0</x:t>
        </x:is>
      </x:c>
      <x:c r="Y17" t="inlineStr">
        <x:is>
          <x:t xml:space="preserve">0.9616732369689006</x:t>
        </x:is>
      </x:c>
      <x:c r="Z17" t="inlineStr">
        <x:is>
          <x:t xml:space="preserve">0.6</x:t>
        </x:is>
      </x:c>
      <x:c r="AA17" t="inlineStr">
        <x:is>
          <x:t xml:space="preserve">0.8936456053810371</x:t>
        </x:is>
      </x:c>
      <x:c r="AB17" t="inlineStr">
        <x:is>
          <x:t xml:space="preserve">0.9759883790770412</x:t>
        </x:is>
      </x:c>
      <x:c r="AC17" t="inlineStr">
        <x:is>
          <x:t xml:space="preserve">0.8936456053810371</x:t>
        </x:is>
      </x:c>
      <x:c r="AD17" t="inlineStr">
        <x:is>
          <x:t xml:space="preserve">1</x:t>
        </x:is>
      </x:c>
      <x:c r="AE17" s="2" t="inlineStr">
        <x:is>
          <x:t xml:space="preserve">16-DIR-UDI-10</x:t>
        </x:is>
      </x:c>
      <x:c r="AF17" s="2" t="inlineStr">
        <x:is>
          <x:t xml:space="preserve">16-DIR-UDI-05</x:t>
        </x:is>
      </x:c>
      <x:c r="AG17" t="inlineStr">
        <x:is>
          <x:t xml:space="preserve">GBM_AND_COMPOSITE</x:t>
        </x:is>
      </x:c>
      <x:c r="AH17" t="inlineStr">
        <x:is>
          <x:t xml:space="preserve">primary_gbm@0.230964__baseline_composite@0.343167</x:t>
        </x:is>
      </x:c>
      <x:c r="AI17" t="inlineStr">
        <x:is>
          <x:t xml:space="preserve">real_boamp_layer1</x:t>
        </x:is>
      </x:c>
    </x:row>
    <x:row r="18" ht="48" customHeight="1">
      <x:c r="A18" s="4" t="inlineStr">
        <x:is>
          <x:t xml:space="preserve">AUDIT-017</x:t>
        </x:is>
      </x:c>
      <x:c r="B18" s="4" t="inlineStr">
        <x:is>
          <x:t xml:space="preserve">gbm_and_composite</x:t>
        </x:is>
      </x:c>
      <x:c r="C18" s="4" t="str">
        <x:v>WRONG_LINK</x:v>
      </x:c>
      <x:c r="D18" s="4" t="str">
        <x:v>HIGH</x:v>
      </x:c>
      <x:c r="E18" s="4" t="str">
        <x:v>FALSE</x:v>
      </x:c>
      <x:c r="F18" s="5" t="n">
        <x:v>46240</x:v>
      </x:c>
      <x:c r="G18" s="6" t="str">
        <x:v>The source is 'Maintenance et prestations associées pour les logiciels de sécurité périmétriques et postes clients de la Ville de Saint-Herblain' while the candidate is 'Installation et maintenance des dispositifs de télésurveillance des équipements municipaux de la Ville de Saint-Herblain'. The concrete functions/equipment are materially different; same buyer and broad digital/CPV similarity do not establish a renewal or relaunch.</x:v>
      </x:c>
      <x:c r="H18" t="inlineStr">
        <x:is>
          <x:t xml:space="preserve">20-118247</x:t>
        </x:is>
      </x:c>
      <x:c r="I18" t="inlineStr">
        <x:is>
          <x:t xml:space="preserve">21-76512</x:t>
        </x:is>
      </x:c>
      <x:c r="J18" t="inlineStr">
        <x:is>
          <x:t xml:space="preserve">21-76512</x:t>
        </x:is>
      </x:c>
      <x:c r="K18" t="inlineStr">
        <x:is>
          <x:t xml:space="preserve">21-76512</x:t>
        </x:is>
      </x:c>
      <x:c r="L18" t="inlineStr">
        <x:is>
          <x:t xml:space="preserve">LINKED</x:t>
        </x:is>
      </x:c>
      <x:c r="M18" t="inlineStr">
        <x:is>
          <x:t xml:space="preserve">LINKED</x:t>
        </x:is>
      </x:c>
      <x:c r="N18" t="inlineStr">
        <x:is>
          <x:t xml:space="preserve">Commune de Saint-Herblain</x:t>
        </x:is>
      </x:c>
      <x:c r="O18" t="inlineStr">
        <x:is>
          <x:t xml:space="preserve">NAME_FALLBACK</x:t>
        </x:is>
      </x:c>
      <x:c r="P18" t="inlineStr">
        <x:is>
          <x:t xml:space="preserve">22</x:t>
        </x:is>
      </x:c>
      <x:c r="Q18" t="inlineStr">
        <x:is>
          <x:t xml:space="preserve">2020-09-30</x:t>
        </x:is>
      </x:c>
      <x:c r="R18" t="inlineStr">
        <x:is>
          <x:t xml:space="preserve">2021-06-09</x:t>
        </x:is>
      </x:c>
      <x:c r="S18" t="inlineStr">
        <x:is>
          <x:t xml:space="preserve">8.278580814717477</x:t>
        </x:is>
      </x:c>
      <x:c r="T18" t="inlineStr">
        <x:is>
          <x:t xml:space="preserve">72250000.0</x:t>
        </x:is>
      </x:c>
      <x:c r="U18" t="inlineStr">
        <x:is>
          <x:t xml:space="preserve">DIGITAL_ICT</x:t>
        </x:is>
      </x:c>
      <x:c r="V18" t="inlineStr">
        <x:is>
          <x:t xml:space="preserve">True</x:t>
        </x:is>
      </x:c>
      <x:c r="W18" t="inlineStr">
        <x:is>
          <x:t xml:space="preserve">0.2093452826113215</x:t>
        </x:is>
      </x:c>
      <x:c r="X18" t="inlineStr">
        <x:is>
          <x:t xml:space="preserve">1.0</x:t>
        </x:is>
      </x:c>
      <x:c r="Y18" t="inlineStr">
        <x:is>
          <x:t xml:space="preserve">0.8412176960140166</x:t>
        </x:is>
      </x:c>
      <x:c r="Z18" t="inlineStr">
        <x:is>
          <x:t xml:space="preserve">0.6</x:t>
        </x:is>
      </x:c>
      <x:c r="AA18" t="inlineStr">
        <x:is>
          <x:t xml:space="preserve">0.6435752729174666</x:t>
        </x:is>
      </x:c>
      <x:c r="AB18" t="inlineStr">
        <x:is>
          <x:t xml:space="preserve">0.94025726326149</x:t>
        </x:is>
      </x:c>
      <x:c r="AC18" t="inlineStr">
        <x:is>
          <x:t xml:space="preserve">0.2170994389829086</x:t>
        </x:is>
      </x:c>
      <x:c r="AD18" t="inlineStr">
        <x:is>
          <x:t xml:space="preserve">6</x:t>
        </x:is>
      </x:c>
      <x:c r="AE18" s="2" t="inlineStr">
        <x:is>
          <x:t xml:space="preserve">Maintenance et prestations associées pour les logiciels de sécurité périmétriques et postes clients de la Ville de Saint-Herblain</x:t>
        </x:is>
      </x:c>
      <x:c r="AF18" s="2" t="inlineStr">
        <x:is>
          <x:t xml:space="preserve">Installation et maintenance des dispositifs de télésurveillance des équipements municipaux de la Ville de Saint-Herblain</x:t>
        </x:is>
      </x:c>
      <x:c r="AG18" t="inlineStr">
        <x:is>
          <x:t xml:space="preserve">GBM_AND_COMPOSITE</x:t>
        </x:is>
      </x:c>
      <x:c r="AH18" t="inlineStr">
        <x:is>
          <x:t xml:space="preserve">primary_gbm@0.230964__baseline_composite@0.343167</x:t>
        </x:is>
      </x:c>
      <x:c r="AI18" t="inlineStr">
        <x:is>
          <x:t xml:space="preserve">real_boamp_layer1</x:t>
        </x:is>
      </x:c>
    </x:row>
    <x:row r="19" ht="48" customHeight="1">
      <x:c r="A19" s="4" t="inlineStr">
        <x:is>
          <x:t xml:space="preserve">AUDIT-018</x:t>
        </x:is>
      </x:c>
      <x:c r="B19" s="4" t="inlineStr">
        <x:is>
          <x:t xml:space="preserve">gbm_and_composite</x:t>
        </x:is>
      </x:c>
      <x:c r="C19" s="4" t="str">
        <x:v>WRONG_LINK</x:v>
      </x:c>
      <x:c r="D19" s="4" t="str">
        <x:v>MEDIUM</x:v>
      </x:c>
      <x:c r="E19" s="4" t="str">
        <x:v>TRUE</x:v>
      </x:c>
      <x:c r="F19" s="5" t="n">
        <x:v>46240</x:v>
      </x:c>
      <x:c r="G19" s="6" t="str">
        <x:v>The source is 'Conception, maintenance, mise en ligne, hébergement et référencement de sites internet' while the candidate is 'Mise à disposition d'une solution en ligne de gestion d'un système d'information touristique'. The concrete functions/equipment are materially different; same buyer and broad digital/CPV similarity do not establish a renewal or relaunch.</x:v>
      </x:c>
      <x:c r="H19" t="inlineStr">
        <x:is>
          <x:t xml:space="preserve">21-125688</x:t>
        </x:is>
      </x:c>
      <x:c r="I19" t="inlineStr">
        <x:is>
          <x:t xml:space="preserve">22-93332</x:t>
        </x:is>
      </x:c>
      <x:c r="J19" t="inlineStr">
        <x:is>
          <x:t xml:space="preserve">22-93332</x:t>
        </x:is>
      </x:c>
      <x:c r="K19" t="inlineStr">
        <x:is>
          <x:t xml:space="preserve">22-93332</x:t>
        </x:is>
      </x:c>
      <x:c r="L19" t="inlineStr">
        <x:is>
          <x:t xml:space="preserve">LINKED</x:t>
        </x:is>
      </x:c>
      <x:c r="M19" t="inlineStr">
        <x:is>
          <x:t xml:space="preserve">LINKED</x:t>
        </x:is>
      </x:c>
      <x:c r="N19" t="inlineStr">
        <x:is>
          <x:t xml:space="preserve">Vendée Expansion</x:t>
        </x:is>
      </x:c>
      <x:c r="O19" t="inlineStr">
        <x:is>
          <x:t xml:space="preserve">NAME_FALLBACK</x:t>
        </x:is>
      </x:c>
      <x:c r="P19" t="inlineStr">
        <x:is>
          <x:t xml:space="preserve">9</x:t>
        </x:is>
      </x:c>
      <x:c r="Q19" t="inlineStr">
        <x:is>
          <x:t xml:space="preserve">2021-09-22</x:t>
        </x:is>
      </x:c>
      <x:c r="R19" t="inlineStr">
        <x:is>
          <x:t xml:space="preserve">2022-07-06</x:t>
        </x:is>
      </x:c>
      <x:c r="S19" t="inlineStr">
        <x:is>
          <x:t xml:space="preserve">9.42838370565046</x:t>
        </x:is>
      </x:c>
      <x:c r="T19" t="inlineStr">
        <x:is>
          <x:t xml:space="preserve">72000000.0</x:t>
        </x:is>
      </x:c>
      <x:c r="U19" t="inlineStr">
        <x:is>
          <x:t xml:space="preserve">DIGITAL_ICT</x:t>
        </x:is>
      </x:c>
      <x:c r="V19" t="inlineStr">
        <x:is>
          <x:t xml:space="preserve">True</x:t>
        </x:is>
      </x:c>
      <x:c r="W19" t="inlineStr">
        <x:is>
          <x:t xml:space="preserve">0.1348238300139508</x:t>
        </x:is>
      </x:c>
      <x:c r="X19" t="inlineStr">
        <x:is>
          <x:t xml:space="preserve">0.2</x:t>
        </x:is>
      </x:c>
      <x:c r="Y19" t="inlineStr">
        <x:is>
          <x:t xml:space="preserve">0.8850197109067017</x:t>
        </x:is>
      </x:c>
      <x:c r="Z19" t="inlineStr">
        <x:is>
          <x:t xml:space="preserve">0.6</x:t>
        </x:is>
      </x:c>
      <x:c r="AA19" t="inlineStr">
        <x:is>
          <x:t xml:space="preserve">0.3884432682315582</x:t>
        </x:is>
      </x:c>
      <x:c r="AB19" t="inlineStr">
        <x:is>
          <x:t xml:space="preserve">0.6779397811743436</x:t>
        </x:is>
      </x:c>
      <x:c r="AC19" t="inlineStr">
        <x:is>
          <x:t xml:space="preserve">0.3884432682315582</x:t>
        </x:is>
      </x:c>
      <x:c r="AD19" t="inlineStr">
        <x:is>
          <x:t xml:space="preserve">1</x:t>
        </x:is>
      </x:c>
      <x:c r="AE19" s="2" t="inlineStr">
        <x:is>
          <x:t xml:space="preserve">Conception, maintenance, mise en ligne, hébergement et référencement de sites internet</x:t>
        </x:is>
      </x:c>
      <x:c r="AF19" s="2" t="inlineStr">
        <x:is>
          <x:t xml:space="preserve">Mise à disposition d'une solution en ligne de gestion d'un système d'information touristique</x:t>
        </x:is>
      </x:c>
      <x:c r="AG19" t="inlineStr">
        <x:is>
          <x:t xml:space="preserve">GBM_AND_COMPOSITE</x:t>
        </x:is>
      </x:c>
      <x:c r="AH19" t="inlineStr">
        <x:is>
          <x:t xml:space="preserve">primary_gbm@0.230964__baseline_composite@0.343167</x:t>
        </x:is>
      </x:c>
      <x:c r="AI19" t="inlineStr">
        <x:is>
          <x:t xml:space="preserve">real_boamp_layer1</x:t>
        </x:is>
      </x:c>
    </x:row>
    <x:row r="20" ht="48" customHeight="1">
      <x:c r="A20" s="4" t="inlineStr">
        <x:is>
          <x:t xml:space="preserve">AUDIT-019</x:t>
        </x:is>
      </x:c>
      <x:c r="B20" s="4" t="inlineStr">
        <x:is>
          <x:t xml:space="preserve">gbm_only</x:t>
        </x:is>
      </x:c>
      <x:c r="C20" s="4" t="str">
        <x:v>WRONG_LINK</x:v>
      </x:c>
      <x:c r="D20" s="4" t="str">
        <x:v>HIGH</x:v>
      </x:c>
      <x:c r="E20" s="4" t="str">
        <x:v>FALSE</x:v>
      </x:c>
      <x:c r="F20" s="5" t="n">
        <x:v>46240</x:v>
      </x:c>
      <x:c r="G20" s="6" t="str">
        <x:v>The source is 'Tour à commande numérique 4 axes' while the candidate is 'Maintenance du logiciel ZIMBRA'. The concrete functions/equipment are materially different; same buyer and broad digital/CPV similarity do not establish a renewal or relaunch.</x:v>
      </x:c>
      <x:c r="H20" t="inlineStr">
        <x:is>
          <x:t xml:space="preserve">17-32165</x:t>
        </x:is>
      </x:c>
      <x:c r="I20" t="inlineStr">
        <x:is>
          <x:t xml:space="preserve">18-13243</x:t>
        </x:is>
      </x:c>
      <x:c r="J20" t="inlineStr">
        <x:is>
          <x:t xml:space="preserve">18-13243</x:t>
        </x:is>
      </x:c>
      <x:c r="K20" t="inlineStr">
        <x:is>
          <x:t xml:space="preserve"/>
        </x:is>
      </x:c>
      <x:c r="L20" t="inlineStr">
        <x:is>
          <x:t xml:space="preserve">LINKED</x:t>
        </x:is>
      </x:c>
      <x:c r="M20" t="inlineStr">
        <x:is>
          <x:t xml:space="preserve">NOT_LINKED</x:t>
        </x:is>
      </x:c>
      <x:c r="N20" t="inlineStr">
        <x:is>
          <x:t xml:space="preserve">Université d'Angers</x:t>
        </x:is>
      </x:c>
      <x:c r="O20" t="inlineStr">
        <x:is>
          <x:t xml:space="preserve">NAME_FALLBACK</x:t>
        </x:is>
      </x:c>
      <x:c r="P20" t="inlineStr">
        <x:is>
          <x:t xml:space="preserve">29</x:t>
        </x:is>
      </x:c>
      <x:c r="Q20" t="inlineStr">
        <x:is>
          <x:t xml:space="preserve">2017-03-07</x:t>
        </x:is>
      </x:c>
      <x:c r="R20" t="inlineStr">
        <x:is>
          <x:t xml:space="preserve">2018-01-29</x:t>
        </x:is>
      </x:c>
      <x:c r="S20" t="inlineStr">
        <x:is>
          <x:t xml:space="preserve">10.775295663600524</x:t>
        </x:is>
      </x:c>
      <x:c r="T20" t="inlineStr">
        <x:is>
          <x:t xml:space="preserve"/>
        </x:is>
      </x:c>
      <x:c r="U20" t="inlineStr">
        <x:is>
          <x:t xml:space="preserve">DIGITAL_ICT</x:t>
        </x:is>
      </x:c>
      <x:c r="V20" t="inlineStr">
        <x:is>
          <x:t xml:space="preserve">True</x:t>
        </x:is>
      </x:c>
      <x:c r="W20" t="inlineStr">
        <x:is>
          <x:t xml:space="preserve">0.0</x:t>
        </x:is>
      </x:c>
      <x:c r="X20" t="inlineStr">
        <x:is>
          <x:t xml:space="preserve">0.1</x:t>
        </x:is>
      </x:c>
      <x:c r="Y20" t="inlineStr">
        <x:is>
          <x:t xml:space="preserve">0.5893561103810776</x:t>
        </x:is>
      </x:c>
      <x:c r="Z20" t="inlineStr">
        <x:is>
          <x:t xml:space="preserve">0.6</x:t>
        </x:is>
      </x:c>
      <x:c r="AA20" t="inlineStr">
        <x:is>
          <x:t xml:space="preserve">0.2373390275952694</x:t>
        </x:is>
      </x:c>
      <x:c r="AB20" t="inlineStr">
        <x:is>
          <x:t xml:space="preserve">0.2935289566891391</x:t>
        </x:is>
      </x:c>
      <x:c r="AC20" t="inlineStr">
        <x:is>
          <x:t xml:space="preserve">0.2373390275952694</x:t>
        </x:is>
      </x:c>
      <x:c r="AD20" t="inlineStr">
        <x:is>
          <x:t xml:space="preserve">1</x:t>
        </x:is>
      </x:c>
      <x:c r="AE20" s="2" t="inlineStr">
        <x:is>
          <x:t xml:space="preserve">Tour à commande numérique 4 axes</x:t>
        </x:is>
      </x:c>
      <x:c r="AF20" s="2" t="inlineStr">
        <x:is>
          <x:t xml:space="preserve">Maintenance du logiciel ZIMBRA</x:t>
        </x:is>
      </x:c>
      <x:c r="AG20" t="inlineStr">
        <x:is>
          <x:t xml:space="preserve">GBM_ONLY</x:t>
        </x:is>
      </x:c>
      <x:c r="AH20" t="inlineStr">
        <x:is>
          <x:t xml:space="preserve">primary_gbm@0.230964__baseline_composite@0.343167</x:t>
        </x:is>
      </x:c>
      <x:c r="AI20" t="inlineStr">
        <x:is>
          <x:t xml:space="preserve">real_boamp_layer1</x:t>
        </x:is>
      </x:c>
    </x:row>
    <x:row r="21" ht="48" customHeight="1">
      <x:c r="A21" s="4" t="inlineStr">
        <x:is>
          <x:t xml:space="preserve">AUDIT-020</x:t>
        </x:is>
      </x:c>
      <x:c r="B21" s="4" t="inlineStr">
        <x:is>
          <x:t xml:space="preserve">gbm_only</x:t>
        </x:is>
      </x:c>
      <x:c r="C21" s="4" t="str">
        <x:v>WRONG_LINK</x:v>
      </x:c>
      <x:c r="D21" s="4" t="str">
        <x:v>MEDIUM</x:v>
      </x:c>
      <x:c r="E21" s="4" t="str">
        <x:v>TRUE</x:v>
      </x:c>
      <x:c r="F21" s="5" t="n">
        <x:v>46240</x:v>
      </x:c>
      <x:c r="G21" s="6" t="str">
        <x:v>The source is 'Evolution de l'infrastructure informatique et de la téléphonie' while the candidate is 'PRESTATION DE GESTION DU SYSTEME D'INFORMATION et TIERCE MAINTENANCE APPLICATIVE DU SYSTEME D'INFORMATION DES SOCIETES DU GROUPE CIF'. The concrete functions/equipment are materially different; same buyer and broad digital/CPV similarity do not establish a renewal or relaunch.</x:v>
      </x:c>
      <x:c r="H21" t="inlineStr">
        <x:is>
          <x:t xml:space="preserve">20-130827</x:t>
        </x:is>
      </x:c>
      <x:c r="I21" t="inlineStr">
        <x:is>
          <x:t xml:space="preserve">21-51441</x:t>
        </x:is>
      </x:c>
      <x:c r="J21" t="inlineStr">
        <x:is>
          <x:t xml:space="preserve">21-51441</x:t>
        </x:is>
      </x:c>
      <x:c r="K21" t="inlineStr">
        <x:is>
          <x:t xml:space="preserve"/>
        </x:is>
      </x:c>
      <x:c r="L21" t="inlineStr">
        <x:is>
          <x:t xml:space="preserve">LINKED</x:t>
        </x:is>
      </x:c>
      <x:c r="M21" t="inlineStr">
        <x:is>
          <x:t xml:space="preserve">NOT_LINKED</x:t>
        </x:is>
      </x:c>
      <x:c r="N21" t="inlineStr">
        <x:is>
          <x:t xml:space="preserve">CIF GIE GEIPCI</x:t>
        </x:is>
      </x:c>
      <x:c r="O21" t="inlineStr">
        <x:is>
          <x:t xml:space="preserve">RAW_SIRET</x:t>
        </x:is>
      </x:c>
      <x:c r="P21" t="inlineStr">
        <x:is>
          <x:t xml:space="preserve">2</x:t>
        </x:is>
      </x:c>
      <x:c r="Q21" t="inlineStr">
        <x:is>
          <x:t xml:space="preserve">2020-10-25</x:t>
        </x:is>
      </x:c>
      <x:c r="R21" t="inlineStr">
        <x:is>
          <x:t xml:space="preserve">2021-04-18</x:t>
        </x:is>
      </x:c>
      <x:c r="S21" t="inlineStr">
        <x:is>
          <x:t xml:space="preserve">5.7490144546649145</x:t>
        </x:is>
      </x:c>
      <x:c r="T21" t="inlineStr">
        <x:is>
          <x:t xml:space="preserve">72514000.0</x:t>
        </x:is>
      </x:c>
      <x:c r="U21" t="inlineStr">
        <x:is>
          <x:t xml:space="preserve">DIGITAL_ICT</x:t>
        </x:is>
      </x:c>
      <x:c r="V21" t="inlineStr">
        <x:is>
          <x:t xml:space="preserve">True</x:t>
        </x:is>
      </x:c>
      <x:c r="W21" t="inlineStr">
        <x:is>
          <x:t xml:space="preserve">0.0079467900677649</x:t>
        </x:is>
      </x:c>
      <x:c r="X21" t="inlineStr">
        <x:is>
          <x:t xml:space="preserve">0.2</x:t>
        </x:is>
      </x:c>
      <x:c r="Y21" t="inlineStr">
        <x:is>
          <x:t xml:space="preserve">0.3758212877792378</x:t>
        </x:is>
      </x:c>
      <x:c r="Z21" t="inlineStr">
        <x:is>
          <x:t xml:space="preserve">1.0</x:t>
        </x:is>
      </x:c>
      <x:c r="AA21" t="inlineStr">
        <x:is>
          <x:t xml:space="preserve">0.2567366984685272</x:t>
        </x:is>
      </x:c>
      <x:c r="AB21" t="inlineStr">
        <x:is>
          <x:t xml:space="preserve">0.6452330680213538</x:t>
        </x:is>
      </x:c>
      <x:c r="AC21" t="inlineStr">
        <x:is>
          <x:t xml:space="preserve">0.2567366984685272</x:t>
        </x:is>
      </x:c>
      <x:c r="AD21" t="inlineStr">
        <x:is>
          <x:t xml:space="preserve">1</x:t>
        </x:is>
      </x:c>
      <x:c r="AE21" s="2" t="inlineStr">
        <x:is>
          <x:t xml:space="preserve">Evolution de l'infrastructure informatique et de la téléphonie</x:t>
        </x:is>
      </x:c>
      <x:c r="AF21" s="2" t="inlineStr">
        <x:is>
          <x:t xml:space="preserve">PRESTATION DE GESTION DU SYSTEME D'INFORMATION et TIERCE MAINTENANCE APPLICATIVE DU SYSTEME D'INFORMATION DES SOCIETES DU GROUPE CIF</x:t>
        </x:is>
      </x:c>
      <x:c r="AG21" t="inlineStr">
        <x:is>
          <x:t xml:space="preserve">GBM_ONLY</x:t>
        </x:is>
      </x:c>
      <x:c r="AH21" t="inlineStr">
        <x:is>
          <x:t xml:space="preserve">primary_gbm@0.230964__baseline_composite@0.343167</x:t>
        </x:is>
      </x:c>
      <x:c r="AI21" t="inlineStr">
        <x:is>
          <x:t xml:space="preserve">real_boamp_layer1</x:t>
        </x:is>
      </x:c>
    </x:row>
    <x:row r="22" ht="48" customHeight="1">
      <x:c r="A22" s="4" t="inlineStr">
        <x:is>
          <x:t xml:space="preserve">AUDIT-021</x:t>
        </x:is>
      </x:c>
      <x:c r="B22" s="4" t="inlineStr">
        <x:is>
          <x:t xml:space="preserve">gbm_only</x:t>
        </x:is>
      </x:c>
      <x:c r="C22" s="4" t="str">
        <x:v>INSUFFICIENT_INFORMATION</x:v>
      </x:c>
      <x:c r="D22" s="4" t="str">
        <x:v>LOW</x:v>
      </x:c>
      <x:c r="E22" s="4" t="str">
        <x:v>TRUE</x:v>
      </x:c>
      <x:c r="F22" s="5" t="n">
        <x:v>46240</x:v>
      </x:c>
      <x:c r="G22" s="6" t="str">
        <x:v>The source covers specific CFE, trades-register, apprenticeship and CRM applications, while the later notice broadly covers business software. The later scope may contain the earlier applications, but BOAMP provides no common lot/reference or explicit relaunch link, so a true successor cannot be established.</x:v>
      </x:c>
      <x:c r="H22" t="inlineStr">
        <x:is>
          <x:t xml:space="preserve">16-110202</x:t>
        </x:is>
      </x:c>
      <x:c r="I22" t="inlineStr">
        <x:is>
          <x:t xml:space="preserve">17-129931</x:t>
        </x:is>
      </x:c>
      <x:c r="J22" t="inlineStr">
        <x:is>
          <x:t xml:space="preserve">17-129931</x:t>
        </x:is>
      </x:c>
      <x:c r="K22" t="inlineStr">
        <x:is>
          <x:t xml:space="preserve"/>
        </x:is>
      </x:c>
      <x:c r="L22" t="inlineStr">
        <x:is>
          <x:t xml:space="preserve">LINKED</x:t>
        </x:is>
      </x:c>
      <x:c r="M22" t="inlineStr">
        <x:is>
          <x:t xml:space="preserve">NOT_LINKED</x:t>
        </x:is>
      </x:c>
      <x:c r="N22" t="inlineStr">
        <x:is>
          <x:t xml:space="preserve">CMAR PAYS DE LA LOIRE</x:t>
        </x:is>
      </x:c>
      <x:c r="O22" t="inlineStr">
        <x:is>
          <x:t xml:space="preserve">NAME_FALLBACK</x:t>
        </x:is>
      </x:c>
      <x:c r="P22" t="inlineStr">
        <x:is>
          <x:t xml:space="preserve">9</x:t>
        </x:is>
      </x:c>
      <x:c r="Q22" t="inlineStr">
        <x:is>
          <x:t xml:space="preserve">2016-07-25</x:t>
        </x:is>
      </x:c>
      <x:c r="R22" t="inlineStr">
        <x:is>
          <x:t xml:space="preserve">2017-09-17</x:t>
        </x:is>
      </x:c>
      <x:c r="S22" t="inlineStr">
        <x:is>
          <x:t xml:space="preserve">13.76478318002628</x:t>
        </x:is>
      </x:c>
      <x:c r="T22" t="inlineStr">
        <x:is>
          <x:t xml:space="preserve"/>
        </x:is>
      </x:c>
      <x:c r="U22" t="inlineStr">
        <x:is>
          <x:t xml:space="preserve">DIGITAL_ICT</x:t>
        </x:is>
      </x:c>
      <x:c r="V22" t="inlineStr">
        <x:is>
          <x:t xml:space="preserve">True</x:t>
        </x:is>
      </x:c>
      <x:c r="W22" t="inlineStr">
        <x:is>
          <x:t xml:space="preserve">0.1246707629615772</x:t>
        </x:is>
      </x:c>
      <x:c r="X22" t="inlineStr">
        <x:is>
          <x:t xml:space="preserve">0.1</x:t>
        </x:is>
      </x:c>
      <x:c r="Y22" t="inlineStr">
        <x:is>
          <x:t xml:space="preserve">0.6605343845816907</x:t>
        </x:is>
      </x:c>
      <x:c r="Z22" t="inlineStr">
        <x:is>
          <x:t xml:space="preserve">0.6</x:t>
        </x:is>
      </x:c>
      <x:c r="AA22" t="inlineStr">
        <x:is>
          <x:t xml:space="preserve">0.2987683631819747</x:t>
        </x:is>
      </x:c>
      <x:c r="AB22" t="inlineStr">
        <x:is>
          <x:t xml:space="preserve">0.3127825554475726</x:t>
        </x:is>
      </x:c>
      <x:c r="AC22" t="inlineStr">
        <x:is>
          <x:t xml:space="preserve">0.2987683631819747</x:t>
        </x:is>
      </x:c>
      <x:c r="AD22" t="inlineStr">
        <x:is>
          <x:t xml:space="preserve">1</x:t>
        </x:is>
      </x:c>
      <x:c r="AE22" s="2" t="inlineStr">
        <x:is>
          <x:t xml:space="preserve">Applicatifs informatiques pour la gestion du centre de formalités des entreprises, du répertoire des métiers et des contrats d'apprentissage</x:t>
        </x:is>
      </x:c>
      <x:c r="AF22" s="2" t="inlineStr">
        <x:is>
          <x:t xml:space="preserve">Marché de fourniture et maintenance des progiciels métiers, ainsi que la fourniture et la maintenance des logiciels nécessaires au fonctionnement de ces logiciels métiers</x:t>
        </x:is>
      </x:c>
      <x:c r="AG22" t="inlineStr">
        <x:is>
          <x:t xml:space="preserve">GBM_ONLY</x:t>
        </x:is>
      </x:c>
      <x:c r="AH22" t="inlineStr">
        <x:is>
          <x:t xml:space="preserve">primary_gbm@0.230964__baseline_composite@0.343167</x:t>
        </x:is>
      </x:c>
      <x:c r="AI22" t="inlineStr">
        <x:is>
          <x:t xml:space="preserve">real_boamp_layer1</x:t>
        </x:is>
      </x:c>
    </x:row>
    <x:row r="23" ht="48" customHeight="1">
      <x:c r="A23" s="4" t="inlineStr">
        <x:is>
          <x:t xml:space="preserve">AUDIT-022</x:t>
        </x:is>
      </x:c>
      <x:c r="B23" s="4" t="inlineStr">
        <x:is>
          <x:t xml:space="preserve">gbm_only</x:t>
        </x:is>
      </x:c>
      <x:c r="C23" s="4" t="str">
        <x:v>WRONG_LINK</x:v>
      </x:c>
      <x:c r="D23" s="4" t="str">
        <x:v>HIGH</x:v>
      </x:c>
      <x:c r="E23" s="4" t="str">
        <x:v>FALSE</x:v>
      </x:c>
      <x:c r="F23" s="5" t="n">
        <x:v>46240</x:v>
      </x:c>
      <x:c r="G23" s="6" t="str">
        <x:v>The source is 'Réalisation du site internet de la Ville d'Orvault.' while the candidate is 'Acquisition et maintenance d'une presse numérique, de photocopieurs multifonctions et des logiciels et prestations associés.'. The concrete functions/equipment are materially different; same buyer and broad digital/CPV similarity do not establish a renewal or relaunch.</x:v>
      </x:c>
      <x:c r="H23" t="inlineStr">
        <x:is>
          <x:t xml:space="preserve">23-217</x:t>
        </x:is>
      </x:c>
      <x:c r="I23" t="inlineStr">
        <x:is>
          <x:t xml:space="preserve">23-159358</x:t>
        </x:is>
      </x:c>
      <x:c r="J23" t="inlineStr">
        <x:is>
          <x:t xml:space="preserve">23-159358</x:t>
        </x:is>
      </x:c>
      <x:c r="K23" t="inlineStr">
        <x:is>
          <x:t xml:space="preserve"/>
        </x:is>
      </x:c>
      <x:c r="L23" t="inlineStr">
        <x:is>
          <x:t xml:space="preserve">LINKED</x:t>
        </x:is>
      </x:c>
      <x:c r="M23" t="inlineStr">
        <x:is>
          <x:t xml:space="preserve">NOT_LINKED</x:t>
        </x:is>
      </x:c>
      <x:c r="N23" t="inlineStr">
        <x:is>
          <x:t xml:space="preserve">Ville d'Orvault</x:t>
        </x:is>
      </x:c>
      <x:c r="O23" t="inlineStr">
        <x:is>
          <x:t xml:space="preserve">NAME_FALLBACK</x:t>
        </x:is>
      </x:c>
      <x:c r="P23" t="inlineStr">
        <x:is>
          <x:t xml:space="preserve">20</x:t>
        </x:is>
      </x:c>
      <x:c r="Q23" t="inlineStr">
        <x:is>
          <x:t xml:space="preserve">2023-01-02</x:t>
        </x:is>
      </x:c>
      <x:c r="R23" t="inlineStr">
        <x:is>
          <x:t xml:space="preserve">2023-11-16</x:t>
        </x:is>
      </x:c>
      <x:c r="S23" t="inlineStr">
        <x:is>
          <x:t xml:space="preserve">10.446780551905388</x:t>
        </x:is>
      </x:c>
      <x:c r="T23" t="inlineStr">
        <x:is>
          <x:t xml:space="preserve"/>
        </x:is>
      </x:c>
      <x:c r="U23" t="inlineStr">
        <x:is>
          <x:t xml:space="preserve">DIGITAL_ICT</x:t>
        </x:is>
      </x:c>
      <x:c r="V23" t="inlineStr">
        <x:is>
          <x:t xml:space="preserve">True</x:t>
        </x:is>
      </x:c>
      <x:c r="W23" t="inlineStr">
        <x:is>
          <x:t xml:space="preserve">0.0028647265807317</x:t>
        </x:is>
      </x:c>
      <x:c r="X23" t="inlineStr">
        <x:is>
          <x:t xml:space="preserve">0.1</x:t>
        </x:is>
      </x:c>
      <x:c r="Y23" t="inlineStr">
        <x:is>
          <x:t xml:space="preserve">0.2498904949627682</x:t>
        </x:is>
      </x:c>
      <x:c r="Z23" t="inlineStr">
        <x:is>
          <x:t xml:space="preserve">0.6</x:t>
        </x:is>
      </x:c>
      <x:c r="AA23" t="inlineStr">
        <x:is>
          <x:t xml:space="preserve">0.1534752780439481</x:t>
        </x:is>
      </x:c>
      <x:c r="AB23" t="inlineStr">
        <x:is>
          <x:t xml:space="preserve">0.2743176747989479</x:t>
        </x:is>
      </x:c>
      <x:c r="AC23" t="inlineStr">
        <x:is>
          <x:t xml:space="preserve">0.1534752780439481</x:t>
        </x:is>
      </x:c>
      <x:c r="AD23" t="inlineStr">
        <x:is>
          <x:t xml:space="preserve">1</x:t>
        </x:is>
      </x:c>
      <x:c r="AE23" s="2" t="inlineStr">
        <x:is>
          <x:t xml:space="preserve">Réalisation du site internet de la Ville d'Orvault.</x:t>
        </x:is>
      </x:c>
      <x:c r="AF23" s="2" t="inlineStr">
        <x:is>
          <x:t xml:space="preserve">Acquisition et maintenance d'une presse numérique, de photocopieurs multifonctions et des logiciels et prestations associés.</x:t>
        </x:is>
      </x:c>
      <x:c r="AG23" t="inlineStr">
        <x:is>
          <x:t xml:space="preserve">GBM_ONLY</x:t>
        </x:is>
      </x:c>
      <x:c r="AH23" t="inlineStr">
        <x:is>
          <x:t xml:space="preserve">primary_gbm@0.230964__baseline_composite@0.343167</x:t>
        </x:is>
      </x:c>
      <x:c r="AI23" t="inlineStr">
        <x:is>
          <x:t xml:space="preserve">real_boamp_layer1</x:t>
        </x:is>
      </x:c>
    </x:row>
    <x:row r="24" ht="48" customHeight="1">
      <x:c r="A24" s="4" t="inlineStr">
        <x:is>
          <x:t xml:space="preserve">AUDIT-023</x:t>
        </x:is>
      </x:c>
      <x:c r="B24" s="4" t="inlineStr">
        <x:is>
          <x:t xml:space="preserve">gbm_only</x:t>
        </x:is>
      </x:c>
      <x:c r="C24" s="4" t="str">
        <x:v>WRONG_LINK</x:v>
      </x:c>
      <x:c r="D24" s="4" t="str">
        <x:v>HIGH</x:v>
      </x:c>
      <x:c r="E24" s="4" t="str">
        <x:v>FALSE</x:v>
      </x:c>
      <x:c r="F24" s="5" t="n">
        <x:v>46240</x:v>
      </x:c>
      <x:c r="G24" s="6" t="str">
        <x:v>The source is 'Acquisition, maintenance et prestations associées pour l'infrastructure réseau, TOIP et Visio de la Ville de Saint-Herblain' while the candidate is 'Audit sur le SI Famille (portail famille et logiciels métiers associés) de la Ville de Saint-Herblain'. The concrete functions/equipment are materially different; same buyer and broad digital/CPV similarity do not establish a renewal or relaunch.</x:v>
      </x:c>
      <x:c r="H24" t="inlineStr">
        <x:is>
          <x:t xml:space="preserve">21-157863</x:t>
        </x:is>
      </x:c>
      <x:c r="I24" t="inlineStr">
        <x:is>
          <x:t xml:space="preserve">22-95583</x:t>
        </x:is>
      </x:c>
      <x:c r="J24" t="inlineStr">
        <x:is>
          <x:t xml:space="preserve">22-95583</x:t>
        </x:is>
      </x:c>
      <x:c r="K24" t="inlineStr">
        <x:is>
          <x:t xml:space="preserve"/>
        </x:is>
      </x:c>
      <x:c r="L24" t="inlineStr">
        <x:is>
          <x:t xml:space="preserve">LINKED</x:t>
        </x:is>
      </x:c>
      <x:c r="M24" t="inlineStr">
        <x:is>
          <x:t xml:space="preserve">NOT_LINKED</x:t>
        </x:is>
      </x:c>
      <x:c r="N24" t="inlineStr">
        <x:is>
          <x:t xml:space="preserve">Commune de Saint-Herblain</x:t>
        </x:is>
      </x:c>
      <x:c r="O24" t="inlineStr">
        <x:is>
          <x:t xml:space="preserve">NAME_FALLBACK</x:t>
        </x:is>
      </x:c>
      <x:c r="P24" t="inlineStr">
        <x:is>
          <x:t xml:space="preserve">22</x:t>
        </x:is>
      </x:c>
      <x:c r="Q24" t="inlineStr">
        <x:is>
          <x:t xml:space="preserve">2021-12-02</x:t>
        </x:is>
      </x:c>
      <x:c r="R24" t="inlineStr">
        <x:is>
          <x:t xml:space="preserve">2022-07-07</x:t>
        </x:is>
      </x:c>
      <x:c r="S24" t="inlineStr">
        <x:is>
          <x:t xml:space="preserve">7.128777923784494</x:t>
        </x:is>
      </x:c>
      <x:c r="T24" t="inlineStr">
        <x:is>
          <x:t xml:space="preserve">72267100.0</x:t>
        </x:is>
      </x:c>
      <x:c r="U24" t="inlineStr">
        <x:is>
          <x:t xml:space="preserve">DIGITAL_ICT</x:t>
        </x:is>
      </x:c>
      <x:c r="V24" t="inlineStr">
        <x:is>
          <x:t xml:space="preserve">True</x:t>
        </x:is>
      </x:c>
      <x:c r="W24" t="inlineStr">
        <x:is>
          <x:t xml:space="preserve">0.1965774451418546</x:t>
        </x:is>
      </x:c>
      <x:c r="X24" t="inlineStr">
        <x:is>
          <x:t xml:space="preserve">0.1</x:t>
        </x:is>
      </x:c>
      <x:c r="Y24" t="inlineStr">
        <x:is>
          <x:t xml:space="preserve">0.7262374069207184</x:t>
        </x:is>
      </x:c>
      <x:c r="Z24" t="inlineStr">
        <x:is>
          <x:t xml:space="preserve">0.6</x:t>
        </x:is>
      </x:c>
      <x:c r="AA24" t="inlineStr">
        <x:is>
          <x:t xml:space="preserve">0.3403614575298287</x:t>
        </x:is>
      </x:c>
      <x:c r="AB24" t="inlineStr">
        <x:is>
          <x:t xml:space="preserve">0.268029443140068</x:t>
        </x:is>
      </x:c>
      <x:c r="AC24" t="inlineStr">
        <x:is>
          <x:t xml:space="preserve">0.3403614575298287</x:t>
        </x:is>
      </x:c>
      <x:c r="AD24" t="inlineStr">
        <x:is>
          <x:t xml:space="preserve">1</x:t>
        </x:is>
      </x:c>
      <x:c r="AE24" s="2" t="inlineStr">
        <x:is>
          <x:t xml:space="preserve">Acquisition, maintenance et prestations associées pour l'infrastructure réseau, TOIP et Visio de la Ville de Saint-Herblain</x:t>
        </x:is>
      </x:c>
      <x:c r="AF24" s="2" t="inlineStr">
        <x:is>
          <x:t xml:space="preserve">Audit sur le SI Famille (portail famille et logiciels métiers associés) de la Ville de Saint-Herblain</x:t>
        </x:is>
      </x:c>
      <x:c r="AG24" t="inlineStr">
        <x:is>
          <x:t xml:space="preserve">GBM_ONLY</x:t>
        </x:is>
      </x:c>
      <x:c r="AH24" t="inlineStr">
        <x:is>
          <x:t xml:space="preserve">primary_gbm@0.230964__baseline_composite@0.343167</x:t>
        </x:is>
      </x:c>
      <x:c r="AI24" t="inlineStr">
        <x:is>
          <x:t xml:space="preserve">real_boamp_layer1</x:t>
        </x:is>
      </x:c>
    </x:row>
    <x:row r="25" ht="48" customHeight="1">
      <x:c r="A25" s="4" t="inlineStr">
        <x:is>
          <x:t xml:space="preserve">AUDIT-024</x:t>
        </x:is>
      </x:c>
      <x:c r="B25" s="4" t="inlineStr">
        <x:is>
          <x:t xml:space="preserve">gbm_only</x:t>
        </x:is>
      </x:c>
      <x:c r="C25" s="4" t="str">
        <x:v>WRONG_LINK</x:v>
      </x:c>
      <x:c r="D25" s="4" t="str">
        <x:v>HIGH</x:v>
      </x:c>
      <x:c r="E25" s="4" t="str">
        <x:v>FALSE</x:v>
      </x:c>
      <x:c r="F25" s="5" t="n">
        <x:v>46240</x:v>
      </x:c>
      <x:c r="G25" s="6" t="str">
        <x:v>The source is 'SERVICE INFORMATIQUE DU SDIS72MAINTENANCE DE LA PLATE FORME ANTIVIRALE NAI (RENOUVELLEMENT),PRESTATIONS PONCTUELLES ET ACQUISITIONS DE…' while the candidate is 'SERVICE INFORMATIQUE DU SDIS72RENOUVELLEMENT DES INFRASTRUCTURES DE STOCKAGE DU STORE VIRTUELREMPLACEMENT DU MATERIEL - MISE EN SERVIC…'. The concrete functions/equipment are materially different; same buyer and broad digital/CPV similarity do not establish a renewal or relaunch.</x:v>
      </x:c>
      <x:c r="H25" t="inlineStr">
        <x:is>
          <x:t xml:space="preserve">20-19624</x:t>
        </x:is>
      </x:c>
      <x:c r="I25" t="inlineStr">
        <x:is>
          <x:t xml:space="preserve">20-118393</x:t>
        </x:is>
      </x:c>
      <x:c r="J25" t="inlineStr">
        <x:is>
          <x:t xml:space="preserve">20-118393</x:t>
        </x:is>
      </x:c>
      <x:c r="K25" t="inlineStr">
        <x:is>
          <x:t xml:space="preserve"/>
        </x:is>
      </x:c>
      <x:c r="L25" t="inlineStr">
        <x:is>
          <x:t xml:space="preserve">LINKED</x:t>
        </x:is>
      </x:c>
      <x:c r="M25" t="inlineStr">
        <x:is>
          <x:t xml:space="preserve">NOT_LINKED</x:t>
        </x:is>
      </x:c>
      <x:c r="N25" t="inlineStr">
        <x:is>
          <x:t xml:space="preserve">SDIS de la Sarthe</x:t>
        </x:is>
      </x:c>
      <x:c r="O25" t="inlineStr">
        <x:is>
          <x:t xml:space="preserve">NAME_FALLBACK</x:t>
        </x:is>
      </x:c>
      <x:c r="P25" t="inlineStr">
        <x:is>
          <x:t xml:space="preserve">11</x:t>
        </x:is>
      </x:c>
      <x:c r="Q25" t="inlineStr">
        <x:is>
          <x:t xml:space="preserve">2020-02-07</x:t>
        </x:is>
      </x:c>
      <x:c r="R25" t="inlineStr">
        <x:is>
          <x:t xml:space="preserve">2020-09-28</x:t>
        </x:is>
      </x:c>
      <x:c r="S25" t="inlineStr">
        <x:is>
          <x:t xml:space="preserve">7.687253613666228</x:t>
        </x:is>
      </x:c>
      <x:c r="T25" t="inlineStr">
        <x:is>
          <x:t xml:space="preserve"/>
        </x:is>
      </x:c>
      <x:c r="U25" t="inlineStr">
        <x:is>
          <x:t xml:space="preserve">DIGITAL_ICT</x:t>
        </x:is>
      </x:c>
      <x:c r="V25" t="inlineStr">
        <x:is>
          <x:t xml:space="preserve">True</x:t>
        </x:is>
      </x:c>
      <x:c r="W25" t="inlineStr">
        <x:is>
          <x:t xml:space="preserve">0.2376093620885176</x:t>
        </x:is>
      </x:c>
      <x:c r="X25" t="inlineStr">
        <x:is>
          <x:t xml:space="preserve">0.1</x:t>
        </x:is>
      </x:c>
      <x:c r="Y25" t="inlineStr">
        <x:is>
          <x:t xml:space="preserve">0.5948313622426631</x:t>
        </x:is>
      </x:c>
      <x:c r="Z25" t="inlineStr">
        <x:is>
          <x:t xml:space="preserve">0.6</x:t>
        </x:is>
      </x:c>
      <x:c r="AA25" t="inlineStr">
        <x:is>
          <x:t xml:space="preserve">0.3218711172916469</x:t>
        </x:is>
      </x:c>
      <x:c r="AB25" t="inlineStr">
        <x:is>
          <x:t xml:space="preserve">0.265375649182003</x:t>
        </x:is>
      </x:c>
      <x:c r="AC25" t="inlineStr">
        <x:is>
          <x:t xml:space="preserve">0.3218711172916469</x:t>
        </x:is>
      </x:c>
      <x:c r="AD25" t="inlineStr">
        <x:is>
          <x:t xml:space="preserve">1</x:t>
        </x:is>
      </x:c>
      <x:c r="AE25" s="2" t="inlineStr">
        <x:is>
          <x:t xml:space="preserve">SERVICE INFORMATIQUE DU SDIS72MAINTENANCE DE LA PLATE FORME ANTIVIRALE NAI (RENOUVELLEMENT),PRESTATIONS PONCTUELLES ET ACQUISITIONS DE LICENCES</x:t>
        </x:is>
      </x:c>
      <x:c r="AF25" s="2" t="inlineStr">
        <x:is>
          <x:t xml:space="preserve">SERVICE INFORMATIQUE DU SDIS72RENOUVELLEMENT DES INFRASTRUCTURES DE STOCKAGE DU STORE VIRTUELREMPLACEMENT DU MATERIEL - MISE EN SERVICE - MAINTENANCE</x:t>
        </x:is>
      </x:c>
      <x:c r="AG25" t="inlineStr">
        <x:is>
          <x:t xml:space="preserve">GBM_ONLY</x:t>
        </x:is>
      </x:c>
      <x:c r="AH25" t="inlineStr">
        <x:is>
          <x:t xml:space="preserve">primary_gbm@0.230964__baseline_composite@0.343167</x:t>
        </x:is>
      </x:c>
      <x:c r="AI25" t="inlineStr">
        <x:is>
          <x:t xml:space="preserve">real_boamp_layer1</x:t>
        </x:is>
      </x:c>
    </x:row>
    <x:row r="26" ht="48" customHeight="1">
      <x:c r="A26" s="4" t="inlineStr">
        <x:is>
          <x:t xml:space="preserve">AUDIT-025</x:t>
        </x:is>
      </x:c>
      <x:c r="B26" s="4" t="inlineStr">
        <x:is>
          <x:t xml:space="preserve">gbm_only</x:t>
        </x:is>
      </x:c>
      <x:c r="C26" s="4" t="str">
        <x:v>WRONG_LINK</x:v>
      </x:c>
      <x:c r="D26" s="4" t="str">
        <x:v>HIGH</x:v>
      </x:c>
      <x:c r="E26" s="4" t="str">
        <x:v>FALSE</x:v>
      </x:c>
      <x:c r="F26" s="5" t="n">
        <x:v>46240</x:v>
      </x:c>
      <x:c r="G26" s="6" t="str">
        <x:v>The source is 'création du site internet de mauges communauté' while the candidate is 'Fourniture de matériels informatiques'. The concrete functions/equipment are materially different; same buyer and broad digital/CPV similarity do not establish a renewal or relaunch.</x:v>
      </x:c>
      <x:c r="H26" t="inlineStr">
        <x:is>
          <x:t xml:space="preserve">18-86637</x:t>
        </x:is>
      </x:c>
      <x:c r="I26" t="inlineStr">
        <x:is>
          <x:t xml:space="preserve">19-87996</x:t>
        </x:is>
      </x:c>
      <x:c r="J26" t="inlineStr">
        <x:is>
          <x:t xml:space="preserve">19-87996</x:t>
        </x:is>
      </x:c>
      <x:c r="K26" t="inlineStr">
        <x:is>
          <x:t xml:space="preserve"/>
        </x:is>
      </x:c>
      <x:c r="L26" t="inlineStr">
        <x:is>
          <x:t xml:space="preserve">LINKED</x:t>
        </x:is>
      </x:c>
      <x:c r="M26" t="inlineStr">
        <x:is>
          <x:t xml:space="preserve">NOT_LINKED</x:t>
        </x:is>
      </x:c>
      <x:c r="N26" t="inlineStr">
        <x:is>
          <x:t xml:space="preserve">MAUGES COMMUNAUTE</x:t>
        </x:is>
      </x:c>
      <x:c r="O26" t="inlineStr">
        <x:is>
          <x:t xml:space="preserve">NAME_FALLBACK</x:t>
        </x:is>
      </x:c>
      <x:c r="P26" t="inlineStr">
        <x:is>
          <x:t xml:space="preserve">7</x:t>
        </x:is>
      </x:c>
      <x:c r="Q26" t="inlineStr">
        <x:is>
          <x:t xml:space="preserve">2018-06-22</x:t>
        </x:is>
      </x:c>
      <x:c r="R26" t="inlineStr">
        <x:is>
          <x:t xml:space="preserve">2019-06-06</x:t>
        </x:is>
      </x:c>
      <x:c r="S26" t="inlineStr">
        <x:is>
          <x:t xml:space="preserve">11.465177398160314</x:t>
        </x:is>
      </x:c>
      <x:c r="T26" t="inlineStr">
        <x:is>
          <x:t xml:space="preserve"/>
        </x:is>
      </x:c>
      <x:c r="U26" t="inlineStr">
        <x:is>
          <x:t xml:space="preserve">DIGITAL_ICT</x:t>
        </x:is>
      </x:c>
      <x:c r="V26" t="inlineStr">
        <x:is>
          <x:t xml:space="preserve">True</x:t>
        </x:is>
      </x:c>
      <x:c r="W26" t="inlineStr">
        <x:is>
          <x:t xml:space="preserve">0.0075443351695208</x:t>
        </x:is>
      </x:c>
      <x:c r="X26" t="inlineStr">
        <x:is>
          <x:t xml:space="preserve">0.1</x:t>
        </x:is>
      </x:c>
      <x:c r="Y26" t="inlineStr">
        <x:is>
          <x:t xml:space="preserve">0.0911081909767849</x:t>
        </x:is>
      </x:c>
      <x:c r="Z26" t="inlineStr">
        <x:is>
          <x:t xml:space="preserve">0.6</x:t>
        </x:is>
      </x:c>
      <x:c r="AA26" t="inlineStr">
        <x:is>
          <x:t xml:space="preserve">0.1154175650535285</x:t>
        </x:is>
      </x:c>
      <x:c r="AB26" t="inlineStr">
        <x:is>
          <x:t xml:space="preserve">0.3207649307301446</x:t>
        </x:is>
      </x:c>
      <x:c r="AC26" t="inlineStr">
        <x:is>
          <x:t xml:space="preserve">0.1154175650535285</x:t>
        </x:is>
      </x:c>
      <x:c r="AD26" t="inlineStr">
        <x:is>
          <x:t xml:space="preserve">1</x:t>
        </x:is>
      </x:c>
      <x:c r="AE26" s="2" t="inlineStr">
        <x:is>
          <x:t xml:space="preserve">création du site internet de mauges communauté</x:t>
        </x:is>
      </x:c>
      <x:c r="AF26" s="2" t="inlineStr">
        <x:is>
          <x:t xml:space="preserve">Fourniture de matériels informatiques</x:t>
        </x:is>
      </x:c>
      <x:c r="AG26" t="inlineStr">
        <x:is>
          <x:t xml:space="preserve">GBM_ONLY</x:t>
        </x:is>
      </x:c>
      <x:c r="AH26" t="inlineStr">
        <x:is>
          <x:t xml:space="preserve">primary_gbm@0.230964__baseline_composite@0.343167</x:t>
        </x:is>
      </x:c>
      <x:c r="AI26" t="inlineStr">
        <x:is>
          <x:t xml:space="preserve">real_boamp_layer1</x:t>
        </x:is>
      </x:c>
    </x:row>
    <x:row r="27" ht="48" customHeight="1">
      <x:c r="A27" s="4" t="inlineStr">
        <x:is>
          <x:t xml:space="preserve">AUDIT-026</x:t>
        </x:is>
      </x:c>
      <x:c r="B27" s="4" t="inlineStr">
        <x:is>
          <x:t xml:space="preserve">gbm_only</x:t>
        </x:is>
      </x:c>
      <x:c r="C27" s="4" t="str">
        <x:v>WRONG_LINK</x:v>
      </x:c>
      <x:c r="D27" s="4" t="str">
        <x:v>HIGH</x:v>
      </x:c>
      <x:c r="E27" s="4" t="str">
        <x:v>FALSE</x:v>
      </x:c>
      <x:c r="F27" s="5" t="n">
        <x:v>46240</x:v>
      </x:c>
      <x:c r="G27" s="6" t="str">
        <x:v>The source is 'fourniture d'équipements réseau et de sécurité, et maintenance associée à Nantes' while the candidate is 'Marché de mise en oeuvre d'un parcours numérique MOOC sur les fondamentaux de la culture numérique'. The concrete functions/equipment are materially different; same buyer and broad digital/CPV similarity do not establish a renewal or relaunch.</x:v>
      </x:c>
      <x:c r="H27" t="inlineStr">
        <x:is>
          <x:t xml:space="preserve">15-145608</x:t>
        </x:is>
      </x:c>
      <x:c r="I27" t="inlineStr">
        <x:is>
          <x:t xml:space="preserve">16-73008</x:t>
        </x:is>
      </x:c>
      <x:c r="J27" t="inlineStr">
        <x:is>
          <x:t xml:space="preserve">16-73008</x:t>
        </x:is>
      </x:c>
      <x:c r="K27" t="inlineStr">
        <x:is>
          <x:t xml:space="preserve"/>
        </x:is>
      </x:c>
      <x:c r="L27" t="inlineStr">
        <x:is>
          <x:t xml:space="preserve">LINKED</x:t>
        </x:is>
      </x:c>
      <x:c r="M27" t="inlineStr">
        <x:is>
          <x:t xml:space="preserve">NOT_LINKED</x:t>
        </x:is>
      </x:c>
      <x:c r="N27" t="inlineStr">
        <x:is>
          <x:t xml:space="preserve">CCIR Pays de la Loire</x:t>
        </x:is>
      </x:c>
      <x:c r="O27" t="inlineStr">
        <x:is>
          <x:t xml:space="preserve">NAME_FALLBACK</x:t>
        </x:is>
      </x:c>
      <x:c r="P27" t="inlineStr">
        <x:is>
          <x:t xml:space="preserve">12</x:t>
        </x:is>
      </x:c>
      <x:c r="Q27" t="inlineStr">
        <x:is>
          <x:t xml:space="preserve">2015-09-24</x:t>
        </x:is>
      </x:c>
      <x:c r="R27" t="inlineStr">
        <x:is>
          <x:t xml:space="preserve">2016-05-20</x:t>
        </x:is>
      </x:c>
      <x:c r="S27" t="inlineStr">
        <x:is>
          <x:t xml:space="preserve">7.851511169513797</x:t>
        </x:is>
      </x:c>
      <x:c r="T27" t="inlineStr">
        <x:is>
          <x:t xml:space="preserve">32420000.0</x:t>
        </x:is>
      </x:c>
      <x:c r="U27" t="inlineStr">
        <x:is>
          <x:t xml:space="preserve">DIGITAL_ICT</x:t>
        </x:is>
      </x:c>
      <x:c r="V27" t="inlineStr">
        <x:is>
          <x:t xml:space="preserve">True</x:t>
        </x:is>
      </x:c>
      <x:c r="W27" t="inlineStr">
        <x:is>
          <x:t xml:space="preserve">0.0075416885373478</x:t>
        </x:is>
      </x:c>
      <x:c r="X27" t="inlineStr">
        <x:is>
          <x:t xml:space="preserve">0.1</x:t>
        </x:is>
      </x:c>
      <x:c r="Y27" t="inlineStr">
        <x:is>
          <x:t xml:space="preserve">0.3593955321944809</x:t>
        </x:is>
      </x:c>
      <x:c r="Z27" t="inlineStr">
        <x:is>
          <x:t xml:space="preserve">0.6</x:t>
        </x:is>
      </x:c>
      <x:c r="AA27" t="inlineStr">
        <x:is>
          <x:t xml:space="preserve">0.182488474036692</x:t>
        </x:is>
      </x:c>
      <x:c r="AB27" t="inlineStr">
        <x:is>
          <x:t xml:space="preserve">0.2725912925679225</x:t>
        </x:is>
      </x:c>
      <x:c r="AC27" t="inlineStr">
        <x:is>
          <x:t xml:space="preserve">0.182488474036692</x:t>
        </x:is>
      </x:c>
      <x:c r="AD27" t="inlineStr">
        <x:is>
          <x:t xml:space="preserve">1</x:t>
        </x:is>
      </x:c>
      <x:c r="AE27" s="2" t="inlineStr">
        <x:is>
          <x:t xml:space="preserve">fourniture d'équipements réseau et de sécurité, et maintenance associée à Nantes</x:t>
        </x:is>
      </x:c>
      <x:c r="AF27" s="2" t="inlineStr">
        <x:is>
          <x:t xml:space="preserve">Marché de mise en oeuvre d'un parcours numérique MOOC sur les fondamentaux de la culture numérique</x:t>
        </x:is>
      </x:c>
      <x:c r="AG27" t="inlineStr">
        <x:is>
          <x:t xml:space="preserve">GBM_ONLY</x:t>
        </x:is>
      </x:c>
      <x:c r="AH27" t="inlineStr">
        <x:is>
          <x:t xml:space="preserve">primary_gbm@0.230964__baseline_composite@0.343167</x:t>
        </x:is>
      </x:c>
      <x:c r="AI27" t="inlineStr">
        <x:is>
          <x:t xml:space="preserve">real_boamp_layer1</x:t>
        </x:is>
      </x:c>
    </x:row>
    <x:row r="28" ht="48" customHeight="1">
      <x:c r="A28" s="4" t="inlineStr">
        <x:is>
          <x:t xml:space="preserve">AUDIT-027</x:t>
        </x:is>
      </x:c>
      <x:c r="B28" s="4" t="inlineStr">
        <x:is>
          <x:t xml:space="preserve">gbm_only</x:t>
        </x:is>
      </x:c>
      <x:c r="C28" s="4" t="str">
        <x:v>WRONG_LINK</x:v>
      </x:c>
      <x:c r="D28" s="4" t="str">
        <x:v>MEDIUM</x:v>
      </x:c>
      <x:c r="E28" s="4" t="str">
        <x:v>TRUE</x:v>
      </x:c>
      <x:c r="F28" s="5" t="n">
        <x:v>46240</x:v>
      </x:c>
      <x:c r="G28" s="6" t="str">
        <x:v>The source is '20-008 Prestations de conception et développement numériques' while the candidate is 'Réalisation, aménagement fonctionnel aux besoins et mise à disposition de la plateforme événementielle In-FINE, configuration et intég…'. The concrete functions/equipment are materially different; same buyer and broad digital/CPV similarity do not establish a renewal or relaunch.</x:v>
      </x:c>
      <x:c r="H28" t="inlineStr">
        <x:is>
          <x:t xml:space="preserve">20-23104</x:t>
        </x:is>
      </x:c>
      <x:c r="I28" t="inlineStr">
        <x:is>
          <x:t xml:space="preserve">21-11209</x:t>
        </x:is>
      </x:c>
      <x:c r="J28" t="inlineStr">
        <x:is>
          <x:t xml:space="preserve">21-11209</x:t>
        </x:is>
      </x:c>
      <x:c r="K28" t="inlineStr">
        <x:is>
          <x:t xml:space="preserve"/>
        </x:is>
      </x:c>
      <x:c r="L28" t="inlineStr">
        <x:is>
          <x:t xml:space="preserve">LINKED</x:t>
        </x:is>
      </x:c>
      <x:c r="M28" t="inlineStr">
        <x:is>
          <x:t xml:space="preserve">NOT_LINKED</x:t>
        </x:is>
      </x:c>
      <x:c r="N28" t="inlineStr">
        <x:is>
          <x:t xml:space="preserve">Réseau Canopé</x:t>
        </x:is>
      </x:c>
      <x:c r="O28" t="inlineStr">
        <x:is>
          <x:t xml:space="preserve">NAME_FALLBACK</x:t>
        </x:is>
      </x:c>
      <x:c r="P28" t="inlineStr">
        <x:is>
          <x:t xml:space="preserve">6</x:t>
        </x:is>
      </x:c>
      <x:c r="Q28" t="inlineStr">
        <x:is>
          <x:t xml:space="preserve">2020-02-15</x:t>
        </x:is>
      </x:c>
      <x:c r="R28" t="inlineStr">
        <x:is>
          <x:t xml:space="preserve">2021-01-25</x:t>
        </x:is>
      </x:c>
      <x:c r="S28" t="inlineStr">
        <x:is>
          <x:t xml:space="preserve">11.33377135348226</x:t>
        </x:is>
      </x:c>
      <x:c r="T28" t="inlineStr">
        <x:is>
          <x:t xml:space="preserve">72000000.0</x:t>
        </x:is>
      </x:c>
      <x:c r="U28" t="inlineStr">
        <x:is>
          <x:t xml:space="preserve">DIGITAL_ICT</x:t>
        </x:is>
      </x:c>
      <x:c r="V28" t="inlineStr">
        <x:is>
          <x:t xml:space="preserve">True</x:t>
        </x:is>
      </x:c>
      <x:c r="W28" t="inlineStr">
        <x:is>
          <x:t xml:space="preserve">0.0267703044305752</x:t>
        </x:is>
      </x:c>
      <x:c r="X28" t="inlineStr">
        <x:is>
          <x:t xml:space="preserve">0.2</x:t>
        </x:is>
      </x:c>
      <x:c r="Y28" t="inlineStr">
        <x:is>
          <x:t xml:space="preserve">0.0965834428383706</x:t>
        </x:is>
      </x:c>
      <x:c r="Z28" t="inlineStr">
        <x:is>
          <x:t xml:space="preserve">0.6</x:t>
        </x:is>
      </x:c>
      <x:c r="AA28" t="inlineStr">
        <x:is>
          <x:t xml:space="preserve">0.1535154672602939</x:t>
        </x:is>
      </x:c>
      <x:c r="AB28" t="inlineStr">
        <x:is>
          <x:t xml:space="preserve">0.3696134606834587</x:t>
        </x:is>
      </x:c>
      <x:c r="AC28" t="inlineStr">
        <x:is>
          <x:t xml:space="preserve">0.0046453862950076</x:t>
        </x:is>
      </x:c>
      <x:c r="AD28" t="inlineStr">
        <x:is>
          <x:t xml:space="preserve">2</x:t>
        </x:is>
      </x:c>
      <x:c r="AE28" s="2" t="inlineStr">
        <x:is>
          <x:t xml:space="preserve">20-008 Prestations de conception et développement numériques</x:t>
        </x:is>
      </x:c>
      <x:c r="AF28" s="2" t="inlineStr">
        <x:is>
          <x:t xml:space="preserve">Réalisation, aménagement fonctionnel aux besoins et mise à disposition de la plateforme événementielle In-FINE, configuration et intégration des informations In-FINE, prestations techniques et moye..</x:t>
        </x:is>
      </x:c>
      <x:c r="AG28" t="inlineStr">
        <x:is>
          <x:t xml:space="preserve">GBM_ONLY</x:t>
        </x:is>
      </x:c>
      <x:c r="AH28" t="inlineStr">
        <x:is>
          <x:t xml:space="preserve">primary_gbm@0.230964__baseline_composite@0.343167</x:t>
        </x:is>
      </x:c>
      <x:c r="AI28" t="inlineStr">
        <x:is>
          <x:t xml:space="preserve">real_boamp_layer1</x:t>
        </x:is>
      </x:c>
    </x:row>
    <x:row r="29" ht="48" customHeight="1">
      <x:c r="A29" s="4" t="inlineStr">
        <x:is>
          <x:t xml:space="preserve">AUDIT-028</x:t>
        </x:is>
      </x:c>
      <x:c r="B29" s="4" t="inlineStr">
        <x:is>
          <x:t xml:space="preserve">gbm_only</x:t>
        </x:is>
      </x:c>
      <x:c r="C29" s="4" t="str">
        <x:v>WRONG_LINK</x:v>
      </x:c>
      <x:c r="D29" s="4" t="str">
        <x:v>HIGH</x:v>
      </x:c>
      <x:c r="E29" s="4" t="str">
        <x:v>FALSE</x:v>
      </x:c>
      <x:c r="F29" s="5" t="n">
        <x:v>46240</x:v>
      </x:c>
      <x:c r="G29" s="6" t="str">
        <x:v>The source is 'convention de mandat de maîtrise d'ouvrage pour la construction d'une extension du pôle numérique' while the candidate is 'Renouvellement des solutions de stockage informatique'. The concrete functions/equipment are materially different; same buyer and broad digital/CPV similarity do not establish a renewal or relaunch.</x:v>
      </x:c>
      <x:c r="H29" t="inlineStr">
        <x:is>
          <x:t xml:space="preserve">17-16255</x:t>
        </x:is>
      </x:c>
      <x:c r="I29" t="inlineStr">
        <x:is>
          <x:t xml:space="preserve">18-8280</x:t>
        </x:is>
      </x:c>
      <x:c r="J29" t="inlineStr">
        <x:is>
          <x:t xml:space="preserve">18-8280</x:t>
        </x:is>
      </x:c>
      <x:c r="K29" t="inlineStr">
        <x:is>
          <x:t xml:space="preserve"/>
        </x:is>
      </x:c>
      <x:c r="L29" t="inlineStr">
        <x:is>
          <x:t xml:space="preserve">LINKED</x:t>
        </x:is>
      </x:c>
      <x:c r="M29" t="inlineStr">
        <x:is>
          <x:t xml:space="preserve">NOT_LINKED</x:t>
        </x:is>
      </x:c>
      <x:c r="N29" t="inlineStr">
        <x:is>
          <x:t xml:space="preserve">LA ROCHE-SUR-YON AGGLOMERATION</x:t>
        </x:is>
      </x:c>
      <x:c r="O29" t="inlineStr">
        <x:is>
          <x:t xml:space="preserve">NAME_FALLBACK</x:t>
        </x:is>
      </x:c>
      <x:c r="P29" t="inlineStr">
        <x:is>
          <x:t xml:space="preserve">13</x:t>
        </x:is>
      </x:c>
      <x:c r="Q29" t="inlineStr">
        <x:is>
          <x:t xml:space="preserve">2017-02-06</x:t>
        </x:is>
      </x:c>
      <x:c r="R29" t="inlineStr">
        <x:is>
          <x:t xml:space="preserve">2018-01-20</x:t>
        </x:is>
      </x:c>
      <x:c r="S29" t="inlineStr">
        <x:is>
          <x:t xml:space="preserve">11.4323258869908</x:t>
        </x:is>
      </x:c>
      <x:c r="T29" t="inlineStr">
        <x:is>
          <x:t xml:space="preserve"/>
        </x:is>
      </x:c>
      <x:c r="U29" t="inlineStr">
        <x:is>
          <x:t xml:space="preserve">DIGITAL_ICT</x:t>
        </x:is>
      </x:c>
      <x:c r="V29" t="inlineStr">
        <x:is>
          <x:t xml:space="preserve">True</x:t>
        </x:is>
      </x:c>
      <x:c r="W29" t="inlineStr">
        <x:is>
          <x:t xml:space="preserve">0.0058868533982202</x:t>
        </x:is>
      </x:c>
      <x:c r="X29" t="inlineStr">
        <x:is>
          <x:t xml:space="preserve">0.1</x:t>
        </x:is>
      </x:c>
      <x:c r="Y29" t="inlineStr">
        <x:is>
          <x:t xml:space="preserve">0.0856329391151993</x:t>
        </x:is>
      </x:c>
      <x:c r="Z29" t="inlineStr">
        <x:is>
          <x:t xml:space="preserve">0.6</x:t>
        </x:is>
      </x:c>
      <x:c r="AA29" t="inlineStr">
        <x:is>
          <x:t xml:space="preserve">0.1134686334681769</x:t>
        </x:is>
      </x:c>
      <x:c r="AB29" t="inlineStr">
        <x:is>
          <x:t xml:space="preserve">0.3207649307301446</x:t>
        </x:is>
      </x:c>
      <x:c r="AC29" t="inlineStr">
        <x:is>
          <x:t xml:space="preserve">0.1134686334681769</x:t>
        </x:is>
      </x:c>
      <x:c r="AD29" t="inlineStr">
        <x:is>
          <x:t xml:space="preserve">1</x:t>
        </x:is>
      </x:c>
      <x:c r="AE29" s="2" t="inlineStr">
        <x:is>
          <x:t xml:space="preserve">convention de mandat de maîtrise d'ouvrage pour la construction d'une extension du pôle numérique</x:t>
        </x:is>
      </x:c>
      <x:c r="AF29" s="2" t="inlineStr">
        <x:is>
          <x:t xml:space="preserve">Renouvellement des solutions de stockage informatique</x:t>
        </x:is>
      </x:c>
      <x:c r="AG29" t="inlineStr">
        <x:is>
          <x:t xml:space="preserve">GBM_ONLY</x:t>
        </x:is>
      </x:c>
      <x:c r="AH29" t="inlineStr">
        <x:is>
          <x:t xml:space="preserve">primary_gbm@0.230964__baseline_composite@0.343167</x:t>
        </x:is>
      </x:c>
      <x:c r="AI29" t="inlineStr">
        <x:is>
          <x:t xml:space="preserve">real_boamp_layer1</x:t>
        </x:is>
      </x:c>
    </x:row>
    <x:row r="30" ht="48" customHeight="1">
      <x:c r="A30" s="4" t="inlineStr">
        <x:is>
          <x:t xml:space="preserve">AUDIT-029</x:t>
        </x:is>
      </x:c>
      <x:c r="B30" s="4" t="inlineStr">
        <x:is>
          <x:t xml:space="preserve">gbm_only</x:t>
        </x:is>
      </x:c>
      <x:c r="C30" s="4" t="str">
        <x:v>WRONG_LINK</x:v>
      </x:c>
      <x:c r="D30" s="4" t="str">
        <x:v>HIGH</x:v>
      </x:c>
      <x:c r="E30" s="4" t="str">
        <x:v>FALSE</x:v>
      </x:c>
      <x:c r="F30" s="5" t="n">
        <x:v>46240</x:v>
      </x:c>
      <x:c r="G30" s="6" t="str">
        <x:v>The source is 'Fourniture, mise en oeuvre et maintenance d'une solution de planification et de gestion du temps de travail' while the candidate is 'Fourniture de licences microsoft'. The concrete functions/equipment are materially different; same buyer and broad digital/CPV similarity do not establish a renewal or relaunch.</x:v>
      </x:c>
      <x:c r="H30" t="inlineStr">
        <x:is>
          <x:t xml:space="preserve">16-176618</x:t>
        </x:is>
      </x:c>
      <x:c r="I30" t="inlineStr">
        <x:is>
          <x:t xml:space="preserve">17-54861</x:t>
        </x:is>
      </x:c>
      <x:c r="J30" t="inlineStr">
        <x:is>
          <x:t xml:space="preserve">17-54861</x:t>
        </x:is>
      </x:c>
      <x:c r="K30" t="inlineStr">
        <x:is>
          <x:t xml:space="preserve"/>
        </x:is>
      </x:c>
      <x:c r="L30" t="inlineStr">
        <x:is>
          <x:t xml:space="preserve">LINKED</x:t>
        </x:is>
      </x:c>
      <x:c r="M30" t="inlineStr">
        <x:is>
          <x:t xml:space="preserve">NOT_LINKED</x:t>
        </x:is>
      </x:c>
      <x:c r="N30" t="inlineStr">
        <x:is>
          <x:t xml:space="preserve">Ville d'Orvault</x:t>
        </x:is>
      </x:c>
      <x:c r="O30" t="inlineStr">
        <x:is>
          <x:t xml:space="preserve">NAME_FALLBACK</x:t>
        </x:is>
      </x:c>
      <x:c r="P30" t="inlineStr">
        <x:is>
          <x:t xml:space="preserve">20</x:t>
        </x:is>
      </x:c>
      <x:c r="Q30" t="inlineStr">
        <x:is>
          <x:t xml:space="preserve">2016-12-09</x:t>
        </x:is>
      </x:c>
      <x:c r="R30" t="inlineStr">
        <x:is>
          <x:t xml:space="preserve">2017-04-21</x:t>
        </x:is>
      </x:c>
      <x:c r="S30" t="inlineStr">
        <x:is>
          <x:t xml:space="preserve">4.369250985545335</x:t>
        </x:is>
      </x:c>
      <x:c r="T30" t="inlineStr">
        <x:is>
          <x:t xml:space="preserve">48000000.0</x:t>
        </x:is>
      </x:c>
      <x:c r="U30" t="inlineStr">
        <x:is>
          <x:t xml:space="preserve">DIGITAL_ICT</x:t>
        </x:is>
      </x:c>
      <x:c r="V30" t="inlineStr">
        <x:is>
          <x:t xml:space="preserve">True</x:t>
        </x:is>
      </x:c>
      <x:c r="W30" t="inlineStr">
        <x:is>
          <x:t xml:space="preserve">0.0341246077531848</x:t>
        </x:is>
      </x:c>
      <x:c r="X30" t="inlineStr">
        <x:is>
          <x:t xml:space="preserve">0.2</x:t>
        </x:is>
      </x:c>
      <x:c r="Y30" t="inlineStr">
        <x:is>
          <x:t xml:space="preserve">0.731712658782304</x:t>
        </x:is>
      </x:c>
      <x:c r="Z30" t="inlineStr">
        <x:is>
          <x:t xml:space="preserve">0.6</x:t>
        </x:is>
      </x:c>
      <x:c r="AA30" t="inlineStr">
        <x:is>
          <x:t xml:space="preserve">0.3148717774091907</x:t>
        </x:is>
      </x:c>
      <x:c r="AB30" t="inlineStr">
        <x:is>
          <x:t xml:space="preserve">0.2387101884002842</x:t>
        </x:is>
      </x:c>
      <x:c r="AC30" t="inlineStr">
        <x:is>
          <x:t xml:space="preserve">0.0748080312559316</x:t>
        </x:is>
      </x:c>
      <x:c r="AD30" t="inlineStr">
        <x:is>
          <x:t xml:space="preserve">2</x:t>
        </x:is>
      </x:c>
      <x:c r="AE30" s="2" t="inlineStr">
        <x:is>
          <x:t xml:space="preserve">Fourniture, mise en oeuvre et maintenance d'une solution de planification et de gestion du temps de travail</x:t>
        </x:is>
      </x:c>
      <x:c r="AF30" s="2" t="inlineStr">
        <x:is>
          <x:t xml:space="preserve">Fourniture de licences microsoft</x:t>
        </x:is>
      </x:c>
      <x:c r="AG30" t="inlineStr">
        <x:is>
          <x:t xml:space="preserve">GBM_ONLY</x:t>
        </x:is>
      </x:c>
      <x:c r="AH30" t="inlineStr">
        <x:is>
          <x:t xml:space="preserve">primary_gbm@0.230964__baseline_composite@0.343167</x:t>
        </x:is>
      </x:c>
      <x:c r="AI30" t="inlineStr">
        <x:is>
          <x:t xml:space="preserve">real_boamp_layer1</x:t>
        </x:is>
      </x:c>
    </x:row>
    <x:row r="31" ht="48" customHeight="1">
      <x:c r="A31" s="4" t="inlineStr">
        <x:is>
          <x:t xml:space="preserve">AUDIT-030</x:t>
        </x:is>
      </x:c>
      <x:c r="B31" s="4" t="inlineStr">
        <x:is>
          <x:t xml:space="preserve">gbm_only</x:t>
        </x:is>
      </x:c>
      <x:c r="C31" s="4" t="str">
        <x:v>WRONG_LINK</x:v>
      </x:c>
      <x:c r="D31" s="4" t="str">
        <x:v>HIGH</x:v>
      </x:c>
      <x:c r="E31" s="4" t="str">
        <x:v>FALSE</x:v>
      </x:c>
      <x:c r="F31" s="5" t="n">
        <x:v>46240</x:v>
      </x:c>
      <x:c r="G31" s="6" t="str">
        <x:v>The source is 'mise à disposition d'une solution numérique en ligne pour l'organisation d'évènements' while the candidate is 'rétro-conversion de fiches papier de livres imprimés du service patrimoine'. The concrete functions/equipment are materially different; same buyer and broad digital/CPV similarity do not establish a renewal or relaunch.</x:v>
      </x:c>
      <x:c r="H31" t="inlineStr">
        <x:is>
          <x:t xml:space="preserve">22-41834</x:t>
        </x:is>
      </x:c>
      <x:c r="I31" t="inlineStr">
        <x:is>
          <x:t xml:space="preserve">23-31575</x:t>
        </x:is>
      </x:c>
      <x:c r="J31" t="inlineStr">
        <x:is>
          <x:t xml:space="preserve">23-31575</x:t>
        </x:is>
      </x:c>
      <x:c r="K31" t="inlineStr">
        <x:is>
          <x:t xml:space="preserve"/>
        </x:is>
      </x:c>
      <x:c r="L31" t="inlineStr">
        <x:is>
          <x:t xml:space="preserve">LINKED</x:t>
        </x:is>
      </x:c>
      <x:c r="M31" t="inlineStr">
        <x:is>
          <x:t xml:space="preserve">NOT_LINKED</x:t>
        </x:is>
      </x:c>
      <x:c r="N31" t="inlineStr">
        <x:is>
          <x:t xml:space="preserve">Ville de Nantes</x:t>
        </x:is>
      </x:c>
      <x:c r="O31" t="inlineStr">
        <x:is>
          <x:t xml:space="preserve">NAME_FALLBACK</x:t>
        </x:is>
      </x:c>
      <x:c r="P31" t="inlineStr">
        <x:is>
          <x:t xml:space="preserve">36</x:t>
        </x:is>
      </x:c>
      <x:c r="Q31" t="inlineStr">
        <x:is>
          <x:t xml:space="preserve">2022-03-22</x:t>
        </x:is>
      </x:c>
      <x:c r="R31" t="inlineStr">
        <x:is>
          <x:t xml:space="preserve">2023-03-10</x:t>
        </x:is>
      </x:c>
      <x:c r="S31" t="inlineStr">
        <x:is>
          <x:t xml:space="preserve">11.59658344283837</x:t>
        </x:is>
      </x:c>
      <x:c r="T31" t="inlineStr">
        <x:is>
          <x:t xml:space="preserve"/>
        </x:is>
      </x:c>
      <x:c r="U31" t="inlineStr">
        <x:is>
          <x:t xml:space="preserve">DIGITAL_ICT</x:t>
        </x:is>
      </x:c>
      <x:c r="V31" t="inlineStr">
        <x:is>
          <x:t xml:space="preserve">True</x:t>
        </x:is>
      </x:c>
      <x:c r="W31" t="inlineStr">
        <x:is>
          <x:t xml:space="preserve">0.0</x:t>
        </x:is>
      </x:c>
      <x:c r="X31" t="inlineStr">
        <x:is>
          <x:t xml:space="preserve">0.1</x:t>
        </x:is>
      </x:c>
      <x:c r="Y31" t="inlineStr">
        <x:is>
          <x:t xml:space="preserve">0.074682435392028</x:t>
        </x:is>
      </x:c>
      <x:c r="Z31" t="inlineStr">
        <x:is>
          <x:t xml:space="preserve">0.6</x:t>
        </x:is>
      </x:c>
      <x:c r="AA31" t="inlineStr">
        <x:is>
          <x:t xml:space="preserve">0.108670608848007</x:t>
        </x:is>
      </x:c>
      <x:c r="AB31" t="inlineStr">
        <x:is>
          <x:t xml:space="preserve">0.3207649307301446</x:t>
        </x:is>
      </x:c>
      <x:c r="AC31" t="inlineStr">
        <x:is>
          <x:t xml:space="preserve">0.108670608848007</x:t>
        </x:is>
      </x:c>
      <x:c r="AD31" t="inlineStr">
        <x:is>
          <x:t xml:space="preserve">1</x:t>
        </x:is>
      </x:c>
      <x:c r="AE31" s="2" t="inlineStr">
        <x:is>
          <x:t xml:space="preserve">mise à disposition d'une solution numérique en ligne pour l'organisation d'évènements</x:t>
        </x:is>
      </x:c>
      <x:c r="AF31" s="2" t="inlineStr">
        <x:is>
          <x:t xml:space="preserve">rétro-conversion de fiches papier de livres imprimés du service patrimoine</x:t>
        </x:is>
      </x:c>
      <x:c r="AG31" t="inlineStr">
        <x:is>
          <x:t xml:space="preserve">GBM_ONLY</x:t>
        </x:is>
      </x:c>
      <x:c r="AH31" t="inlineStr">
        <x:is>
          <x:t xml:space="preserve">primary_gbm@0.230964__baseline_composite@0.343167</x:t>
        </x:is>
      </x:c>
      <x:c r="AI31" t="inlineStr">
        <x:is>
          <x:t xml:space="preserve">real_boamp_layer1</x:t>
        </x:is>
      </x:c>
    </x:row>
    <x:row r="32" ht="48" customHeight="1">
      <x:c r="A32" s="4" t="inlineStr">
        <x:is>
          <x:t xml:space="preserve">AUDIT-031</x:t>
        </x:is>
      </x:c>
      <x:c r="B32" s="4" t="inlineStr">
        <x:is>
          <x:t xml:space="preserve">gbm_only</x:t>
        </x:is>
      </x:c>
      <x:c r="C32" s="4" t="str">
        <x:v>WRONG_LINK</x:v>
      </x:c>
      <x:c r="D32" s="4" t="str">
        <x:v>HIGH</x:v>
      </x:c>
      <x:c r="E32" s="4" t="str">
        <x:v>FALSE</x:v>
      </x:c>
      <x:c r="F32" s="5" t="n">
        <x:v>46240</x:v>
      </x:c>
      <x:c r="G32" s="6" t="str">
        <x:v>The source is 'Acquisition et mise en place d'un progiciel' while the candidate is 'FOURNITURE DE POSTES INFORMATIQUES'. The concrete functions/equipment are materially different; same buyer and broad digital/CPV similarity do not establish a renewal or relaunch.</x:v>
      </x:c>
      <x:c r="H32" t="inlineStr">
        <x:is>
          <x:t xml:space="preserve">17-3608</x:t>
        </x:is>
      </x:c>
      <x:c r="I32" t="inlineStr">
        <x:is>
          <x:t xml:space="preserve">17-132446</x:t>
        </x:is>
      </x:c>
      <x:c r="J32" t="inlineStr">
        <x:is>
          <x:t xml:space="preserve">17-132446</x:t>
        </x:is>
      </x:c>
      <x:c r="K32" t="inlineStr">
        <x:is>
          <x:t xml:space="preserve"/>
        </x:is>
      </x:c>
      <x:c r="L32" t="inlineStr">
        <x:is>
          <x:t xml:space="preserve">LINKED</x:t>
        </x:is>
      </x:c>
      <x:c r="M32" t="inlineStr">
        <x:is>
          <x:t xml:space="preserve">NOT_LINKED</x:t>
        </x:is>
      </x:c>
      <x:c r="N32" t="inlineStr">
        <x:is>
          <x:t xml:space="preserve">GRETA LOIRE ATLANTIQUE</x:t>
        </x:is>
      </x:c>
      <x:c r="O32" t="inlineStr">
        <x:is>
          <x:t xml:space="preserve">NAME_FALLBACK</x:t>
        </x:is>
      </x:c>
      <x:c r="P32" t="inlineStr">
        <x:is>
          <x:t xml:space="preserve">3</x:t>
        </x:is>
      </x:c>
      <x:c r="Q32" t="inlineStr">
        <x:is>
          <x:t xml:space="preserve">2017-01-09</x:t>
        </x:is>
      </x:c>
      <x:c r="R32" t="inlineStr">
        <x:is>
          <x:t xml:space="preserve">2017-09-20</x:t>
        </x:is>
      </x:c>
      <x:c r="S32" t="inlineStr">
        <x:is>
          <x:t xml:space="preserve">8.344283837056505</x:t>
        </x:is>
      </x:c>
      <x:c r="T32" t="inlineStr">
        <x:is>
          <x:t xml:space="preserve"/>
        </x:is>
      </x:c>
      <x:c r="U32" t="inlineStr">
        <x:is>
          <x:t xml:space="preserve">DIGITAL_ICT</x:t>
        </x:is>
      </x:c>
      <x:c r="V32" t="inlineStr">
        <x:is>
          <x:t xml:space="preserve">True</x:t>
        </x:is>
      </x:c>
      <x:c r="W32" t="inlineStr">
        <x:is>
          <x:t xml:space="preserve">0.0</x:t>
        </x:is>
      </x:c>
      <x:c r="X32" t="inlineStr">
        <x:is>
          <x:t xml:space="preserve">0.1</x:t>
        </x:is>
      </x:c>
      <x:c r="Y32" t="inlineStr">
        <x:is>
          <x:t xml:space="preserve">0.6003066141042488</x:t>
        </x:is>
      </x:c>
      <x:c r="Z32" t="inlineStr">
        <x:is>
          <x:t xml:space="preserve">0.6</x:t>
        </x:is>
      </x:c>
      <x:c r="AA32" t="inlineStr">
        <x:is>
          <x:t xml:space="preserve">0.2400766535260622</x:t>
        </x:is>
      </x:c>
      <x:c r="AB32" t="inlineStr">
        <x:is>
          <x:t xml:space="preserve">0.4819197762194417</x:t>
        </x:is>
      </x:c>
      <x:c r="AC32" t="inlineStr">
        <x:is>
          <x:t xml:space="preserve">0.2400766535260622</x:t>
        </x:is>
      </x:c>
      <x:c r="AD32" t="inlineStr">
        <x:is>
          <x:t xml:space="preserve">1</x:t>
        </x:is>
      </x:c>
      <x:c r="AE32" s="2" t="inlineStr">
        <x:is>
          <x:t xml:space="preserve">Acquisition et mise en place d'un progiciel</x:t>
        </x:is>
      </x:c>
      <x:c r="AF32" s="2" t="inlineStr">
        <x:is>
          <x:t xml:space="preserve">FOURNITURE DE POSTES INFORMATIQUES</x:t>
        </x:is>
      </x:c>
      <x:c r="AG32" t="inlineStr">
        <x:is>
          <x:t xml:space="preserve">GBM_ONLY</x:t>
        </x:is>
      </x:c>
      <x:c r="AH32" t="inlineStr">
        <x:is>
          <x:t xml:space="preserve">primary_gbm@0.230964__baseline_composite@0.343167</x:t>
        </x:is>
      </x:c>
      <x:c r="AI32" t="inlineStr">
        <x:is>
          <x:t xml:space="preserve">real_boamp_layer1</x:t>
        </x:is>
      </x:c>
    </x:row>
    <x:row r="33" ht="48" customHeight="1">
      <x:c r="A33" s="4" t="inlineStr">
        <x:is>
          <x:t xml:space="preserve">AUDIT-032</x:t>
        </x:is>
      </x:c>
      <x:c r="B33" s="4" t="inlineStr">
        <x:is>
          <x:t xml:space="preserve">gbm_only</x:t>
        </x:is>
      </x:c>
      <x:c r="C33" s="4" t="str">
        <x:v>WRONG_LINK</x:v>
      </x:c>
      <x:c r="D33" s="4" t="str">
        <x:v>HIGH</x:v>
      </x:c>
      <x:c r="E33" s="4" t="str">
        <x:v>FALSE</x:v>
      </x:c>
      <x:c r="F33" s="5" t="n">
        <x:v>46240</x:v>
      </x:c>
      <x:c r="G33" s="6" t="str">
        <x:v>The source is 'maîtrise d'oeuvre pour les travaux de mise en accessibilité des bâtiments erp à Fontenay Le Comte Cedex' while the candidate is 'acquisition et mise en oeuvre de progiciels de gestions financière/paie - elections - population'. The concrete functions/equipment are materially different; same buyer and broad digital/CPV similarity do not establish a renewal or relaunch.</x:v>
      </x:c>
      <x:c r="H33" t="inlineStr">
        <x:is>
          <x:t xml:space="preserve">15-153604</x:t>
        </x:is>
      </x:c>
      <x:c r="I33" t="inlineStr">
        <x:is>
          <x:t xml:space="preserve">16-79410</x:t>
        </x:is>
      </x:c>
      <x:c r="J33" t="inlineStr">
        <x:is>
          <x:t xml:space="preserve">16-79410</x:t>
        </x:is>
      </x:c>
      <x:c r="K33" t="inlineStr">
        <x:is>
          <x:t xml:space="preserve"/>
        </x:is>
      </x:c>
      <x:c r="L33" t="inlineStr">
        <x:is>
          <x:t xml:space="preserve">LINKED</x:t>
        </x:is>
      </x:c>
      <x:c r="M33" t="inlineStr">
        <x:is>
          <x:t xml:space="preserve">NOT_LINKED</x:t>
        </x:is>
      </x:c>
      <x:c r="N33" t="inlineStr">
        <x:is>
          <x:t xml:space="preserve">Cté de Cnes du pays Fontenay le Comte</x:t>
        </x:is>
      </x:c>
      <x:c r="O33" t="inlineStr">
        <x:is>
          <x:t xml:space="preserve">NAME_FALLBACK</x:t>
        </x:is>
      </x:c>
      <x:c r="P33" t="inlineStr">
        <x:is>
          <x:t xml:space="preserve">2</x:t>
        </x:is>
      </x:c>
      <x:c r="Q33" t="inlineStr">
        <x:is>
          <x:t xml:space="preserve">2015-10-08</x:t>
        </x:is>
      </x:c>
      <x:c r="R33" t="inlineStr">
        <x:is>
          <x:t xml:space="preserve">2016-06-07</x:t>
        </x:is>
      </x:c>
      <x:c r="S33" t="inlineStr">
        <x:is>
          <x:t xml:space="preserve">7.982917214191852</x:t>
        </x:is>
      </x:c>
      <x:c r="T33" t="inlineStr">
        <x:is>
          <x:t xml:space="preserve"/>
        </x:is>
      </x:c>
      <x:c r="U33" t="inlineStr">
        <x:is>
          <x:t xml:space="preserve">DIGITAL_ICT</x:t>
        </x:is>
      </x:c>
      <x:c r="V33" t="inlineStr">
        <x:is>
          <x:t xml:space="preserve">True</x:t>
        </x:is>
      </x:c>
      <x:c r="W33" t="inlineStr">
        <x:is>
          <x:t xml:space="preserve">0.0653782661404476</x:t>
        </x:is>
      </x:c>
      <x:c r="X33" t="inlineStr">
        <x:is>
          <x:t xml:space="preserve">0.1</x:t>
        </x:is>
      </x:c>
      <x:c r="Y33" t="inlineStr">
        <x:is>
          <x:t xml:space="preserve">0.6714848883048621</x:t>
        </x:is>
      </x:c>
      <x:c r="Z33" t="inlineStr">
        <x:is>
          <x:t xml:space="preserve">0.6</x:t>
        </x:is>
      </x:c>
      <x:c r="AA33" t="inlineStr">
        <x:is>
          <x:t xml:space="preserve">0.2807536152253722</x:t>
        </x:is>
      </x:c>
      <x:c r="AB33" t="inlineStr">
        <x:is>
          <x:t xml:space="preserve">0.2787554838122397</x:t>
        </x:is>
      </x:c>
      <x:c r="AC33" t="inlineStr">
        <x:is>
          <x:t xml:space="preserve">0.2807536152253722</x:t>
        </x:is>
      </x:c>
      <x:c r="AD33" t="inlineStr">
        <x:is>
          <x:t xml:space="preserve">1</x:t>
        </x:is>
      </x:c>
      <x:c r="AE33" s="2" t="inlineStr">
        <x:is>
          <x:t xml:space="preserve">maîtrise d'oeuvre pour les travaux de mise en accessibilité des bâtiments erp à Fontenay Le Comte Cedex</x:t>
        </x:is>
      </x:c>
      <x:c r="AF33" s="2" t="inlineStr">
        <x:is>
          <x:t xml:space="preserve">acquisition et mise en oeuvre de progiciels de gestions financière/paie - elections - population</x:t>
        </x:is>
      </x:c>
      <x:c r="AG33" t="inlineStr">
        <x:is>
          <x:t xml:space="preserve">GBM_ONLY</x:t>
        </x:is>
      </x:c>
      <x:c r="AH33" t="inlineStr">
        <x:is>
          <x:t xml:space="preserve">primary_gbm@0.230964__baseline_composite@0.343167</x:t>
        </x:is>
      </x:c>
      <x:c r="AI33" t="inlineStr">
        <x:is>
          <x:t xml:space="preserve">real_boamp_layer1</x:t>
        </x:is>
      </x:c>
    </x:row>
    <x:row r="34" ht="48" customHeight="1">
      <x:c r="A34" s="4" t="inlineStr">
        <x:is>
          <x:t xml:space="preserve">AUDIT-033</x:t>
        </x:is>
      </x:c>
      <x:c r="B34" s="4" t="inlineStr">
        <x:is>
          <x:t xml:space="preserve">composite_only</x:t>
        </x:is>
      </x:c>
      <x:c r="C34" s="4" t="str">
        <x:v>CORRECT_LINK</x:v>
      </x:c>
      <x:c r="D34" s="4" t="str">
        <x:v>MEDIUM</x:v>
      </x:c>
      <x:c r="E34" s="4" t="str">
        <x:v>TRUE</x:v>
      </x:c>
      <x:c r="F34" s="5" t="n">
        <x:v>46240</x:v>
      </x:c>
      <x:c r="G34" s="6" t="str">
        <x:v>The two initial notices have the same buyer, identical title and almost identical quantities for computers, screens, scanners, accessories and storage. The second is a credible republication/relaunch of the same procurement need, although BOAMP does not explicitly link them.</x:v>
      </x:c>
      <x:c r="H34" t="inlineStr">
        <x:is>
          <x:t xml:space="preserve">19-87996</x:t>
        </x:is>
      </x:c>
      <x:c r="I34" t="inlineStr">
        <x:is>
          <x:t xml:space="preserve">19-118070</x:t>
        </x:is>
      </x:c>
      <x:c r="J34" t="inlineStr">
        <x:is>
          <x:t xml:space="preserve"/>
        </x:is>
      </x:c>
      <x:c r="K34" t="inlineStr">
        <x:is>
          <x:t xml:space="preserve">19-118070</x:t>
        </x:is>
      </x:c>
      <x:c r="L34" t="inlineStr">
        <x:is>
          <x:t xml:space="preserve">NOT_LINKED</x:t>
        </x:is>
      </x:c>
      <x:c r="M34" t="inlineStr">
        <x:is>
          <x:t xml:space="preserve">LINKED</x:t>
        </x:is>
      </x:c>
      <x:c r="N34" t="inlineStr">
        <x:is>
          <x:t xml:space="preserve">MAUGES COMMUNAUTE</x:t>
        </x:is>
      </x:c>
      <x:c r="O34" t="inlineStr">
        <x:is>
          <x:t xml:space="preserve">NAME_FALLBACK</x:t>
        </x:is>
      </x:c>
      <x:c r="P34" t="inlineStr">
        <x:is>
          <x:t xml:space="preserve">7</x:t>
        </x:is>
      </x:c>
      <x:c r="Q34" t="inlineStr">
        <x:is>
          <x:t xml:space="preserve">2019-06-06</x:t>
        </x:is>
      </x:c>
      <x:c r="R34" t="inlineStr">
        <x:is>
          <x:t xml:space="preserve">2019-07-29</x:t>
        </x:is>
      </x:c>
      <x:c r="S34" t="inlineStr">
        <x:is>
          <x:t xml:space="preserve">1.7411300919842312</x:t>
        </x:is>
      </x:c>
      <x:c r="T34" t="inlineStr">
        <x:is>
          <x:t xml:space="preserve"/>
        </x:is>
      </x:c>
      <x:c r="U34" t="inlineStr">
        <x:is>
          <x:t xml:space="preserve">DIGITAL_ICT</x:t>
        </x:is>
      </x:c>
      <x:c r="V34" t="inlineStr">
        <x:is>
          <x:t xml:space="preserve">True</x:t>
        </x:is>
      </x:c>
      <x:c r="W34" t="inlineStr">
        <x:is>
          <x:t xml:space="preserve">1.0000000000000002</x:t>
        </x:is>
      </x:c>
      <x:c r="X34" t="inlineStr">
        <x:is>
          <x:t xml:space="preserve">0.1</x:t>
        </x:is>
      </x:c>
      <x:c r="Y34" t="inlineStr">
        <x:is>
          <x:t xml:space="preserve">0.2882172579938676</x:t>
        </x:is>
      </x:c>
      <x:c r="Z34" t="inlineStr">
        <x:is>
          <x:t xml:space="preserve">0.6</x:t>
        </x:is>
      </x:c>
      <x:c r="AA34" t="inlineStr">
        <x:is>
          <x:t xml:space="preserve">0.5120543144984668</x:t>
        </x:is>
      </x:c>
      <x:c r="AB34" t="inlineStr">
        <x:is>
          <x:t xml:space="preserve"/>
        </x:is>
      </x:c>
      <x:c r="AC34" t="inlineStr">
        <x:is>
          <x:t xml:space="preserve">0.2879888958855233</x:t>
        </x:is>
      </x:c>
      <x:c r="AD34" t="inlineStr">
        <x:is>
          <x:t xml:space="preserve">3</x:t>
        </x:is>
      </x:c>
      <x:c r="AE34" s="2" t="inlineStr">
        <x:is>
          <x:t xml:space="preserve">Fourniture de matériels informatiques</x:t>
        </x:is>
      </x:c>
      <x:c r="AF34" s="2" t="inlineStr">
        <x:is>
          <x:t xml:space="preserve">Fourniture de matériels informatiques</x:t>
        </x:is>
      </x:c>
      <x:c r="AG34" t="inlineStr">
        <x:is>
          <x:t xml:space="preserve">COMPOSITE_ONLY</x:t>
        </x:is>
      </x:c>
      <x:c r="AH34" t="inlineStr">
        <x:is>
          <x:t xml:space="preserve">primary_gbm@0.230964__baseline_composite@0.343167</x:t>
        </x:is>
      </x:c>
      <x:c r="AI34" t="inlineStr">
        <x:is>
          <x:t xml:space="preserve">real_boamp_layer1</x:t>
        </x:is>
      </x:c>
    </x:row>
    <x:row r="35" ht="48" customHeight="1">
      <x:c r="A35" s="4" t="inlineStr">
        <x:is>
          <x:t xml:space="preserve">AUDIT-034</x:t>
        </x:is>
      </x:c>
      <x:c r="B35" s="4" t="inlineStr">
        <x:is>
          <x:t xml:space="preserve">composite_only</x:t>
        </x:is>
      </x:c>
      <x:c r="C35" s="4" t="str">
        <x:v>WRONG_LINK</x:v>
      </x:c>
      <x:c r="D35" s="4" t="str">
        <x:v>MEDIUM</x:v>
      </x:c>
      <x:c r="E35" s="4" t="str">
        <x:v>TRUE</x:v>
      </x:c>
      <x:c r="F35" s="5" t="n">
        <x:v>46240</x:v>
      </x:c>
      <x:c r="G35" s="6" t="str">
        <x:v>The source is 'maintenance et évolution de l'application mobile vivre à angers' while the candidate is 'conception et réalisation quotidienne d'un panorama presse électronique général'. The concrete functions/equipment are materially different; same buyer and broad digital/CPV similarity do not establish a renewal or relaunch.</x:v>
      </x:c>
      <x:c r="H35" t="inlineStr">
        <x:is>
          <x:t xml:space="preserve">22-42168</x:t>
        </x:is>
      </x:c>
      <x:c r="I35" t="inlineStr">
        <x:is>
          <x:t xml:space="preserve">22-141594</x:t>
        </x:is>
      </x:c>
      <x:c r="J35" t="inlineStr">
        <x:is>
          <x:t xml:space="preserve"/>
        </x:is>
      </x:c>
      <x:c r="K35" t="inlineStr">
        <x:is>
          <x:t xml:space="preserve">22-141594</x:t>
        </x:is>
      </x:c>
      <x:c r="L35" t="inlineStr">
        <x:is>
          <x:t xml:space="preserve">NOT_LINKED</x:t>
        </x:is>
      </x:c>
      <x:c r="M35" t="inlineStr">
        <x:is>
          <x:t xml:space="preserve">LINKED</x:t>
        </x:is>
      </x:c>
      <x:c r="N35" t="inlineStr">
        <x:is>
          <x:t xml:space="preserve">Angers Loire Métropole</x:t>
        </x:is>
      </x:c>
      <x:c r="O35" t="inlineStr">
        <x:is>
          <x:t xml:space="preserve">RAW_SIRET</x:t>
        </x:is>
      </x:c>
      <x:c r="P35" t="inlineStr">
        <x:is>
          <x:t xml:space="preserve">15</x:t>
        </x:is>
      </x:c>
      <x:c r="Q35" t="inlineStr">
        <x:is>
          <x:t xml:space="preserve">2022-04-08</x:t>
        </x:is>
      </x:c>
      <x:c r="R35" t="inlineStr">
        <x:is>
          <x:t xml:space="preserve">2022-10-21</x:t>
        </x:is>
      </x:c>
      <x:c r="S35" t="inlineStr">
        <x:is>
          <x:t xml:space="preserve">6.438896189224704</x:t>
        </x:is>
      </x:c>
      <x:c r="T35" t="inlineStr">
        <x:is>
          <x:t xml:space="preserve">72421000.0</x:t>
        </x:is>
      </x:c>
      <x:c r="U35" t="inlineStr">
        <x:is>
          <x:t xml:space="preserve">DIGITAL_ICT</x:t>
        </x:is>
      </x:c>
      <x:c r="V35" t="inlineStr">
        <x:is>
          <x:t xml:space="preserve">True</x:t>
        </x:is>
      </x:c>
      <x:c r="W35" t="inlineStr">
        <x:is>
          <x:t xml:space="preserve">0.0056982338185514</x:t>
        </x:is>
      </x:c>
      <x:c r="X35" t="inlineStr">
        <x:is>
          <x:t xml:space="preserve">0.2</x:t>
        </x:is>
      </x:c>
      <x:c r="Y35" t="inlineStr">
        <x:is>
          <x:t xml:space="preserve">0.9288217257993868</x:t>
        </x:is>
      </x:c>
      <x:c r="Z35" t="inlineStr">
        <x:is>
          <x:t xml:space="preserve">1.0</x:t>
        </x:is>
      </x:c>
      <x:c r="AA35" t="inlineStr">
        <x:is>
          <x:t xml:space="preserve">0.3941998132863397</x:t>
        </x:is>
      </x:c>
      <x:c r="AB35" t="inlineStr">
        <x:is>
          <x:t xml:space="preserve"/>
        </x:is>
      </x:c>
      <x:c r="AC35" t="inlineStr">
        <x:is>
          <x:t xml:space="preserve">0.1890207773789831</x:t>
        </x:is>
      </x:c>
      <x:c r="AD35" t="inlineStr">
        <x:is>
          <x:t xml:space="preserve">4</x:t>
        </x:is>
      </x:c>
      <x:c r="AE35" s="2" t="inlineStr">
        <x:is>
          <x:t xml:space="preserve">maintenance et évolution de l'application mobile vivre à angers</x:t>
        </x:is>
      </x:c>
      <x:c r="AF35" s="2" t="inlineStr">
        <x:is>
          <x:t xml:space="preserve">conception et réalisation quotidienne d'un panorama presse électronique général</x:t>
        </x:is>
      </x:c>
      <x:c r="AG35" t="inlineStr">
        <x:is>
          <x:t xml:space="preserve">COMPOSITE_ONLY</x:t>
        </x:is>
      </x:c>
      <x:c r="AH35" t="inlineStr">
        <x:is>
          <x:t xml:space="preserve">primary_gbm@0.230964__baseline_composite@0.343167</x:t>
        </x:is>
      </x:c>
      <x:c r="AI35" t="inlineStr">
        <x:is>
          <x:t xml:space="preserve">real_boamp_layer1</x:t>
        </x:is>
      </x:c>
    </x:row>
    <x:row r="36" ht="48" customHeight="1">
      <x:c r="A36" s="4" t="inlineStr">
        <x:is>
          <x:t xml:space="preserve">AUDIT-035</x:t>
        </x:is>
      </x:c>
      <x:c r="B36" s="4" t="inlineStr">
        <x:is>
          <x:t xml:space="preserve">composite_only</x:t>
        </x:is>
      </x:c>
      <x:c r="C36" s="4" t="str">
        <x:v>WRONG_LINK</x:v>
      </x:c>
      <x:c r="D36" s="4" t="str">
        <x:v>HIGH</x:v>
      </x:c>
      <x:c r="E36" s="4" t="str">
        <x:v>FALSE</x:v>
      </x:c>
      <x:c r="F36" s="5" t="n">
        <x:v>46240</x:v>
      </x:c>
      <x:c r="G36" s="6" t="str">
        <x:v>The source itself is a rectifying notice for the nurse-call procurement, while the candidate concerns operating-theatre stock and intervention-cart management. These are different systems.</x:v>
      </x:c>
      <x:c r="H36" t="inlineStr">
        <x:is>
          <x:t xml:space="preserve">24-24049</x:t>
        </x:is>
      </x:c>
      <x:c r="I36" t="inlineStr">
        <x:is>
          <x:t xml:space="preserve">24-141111</x:t>
        </x:is>
      </x:c>
      <x:c r="J36" t="inlineStr">
        <x:is>
          <x:t xml:space="preserve"/>
        </x:is>
      </x:c>
      <x:c r="K36" t="inlineStr">
        <x:is>
          <x:t xml:space="preserve">24-141111</x:t>
        </x:is>
      </x:c>
      <x:c r="L36" t="inlineStr">
        <x:is>
          <x:t xml:space="preserve">NOT_LINKED</x:t>
        </x:is>
      </x:c>
      <x:c r="M36" t="inlineStr">
        <x:is>
          <x:t xml:space="preserve">LINKED</x:t>
        </x:is>
      </x:c>
      <x:c r="N36" t="inlineStr">
        <x:is>
          <x:t xml:space="preserve">CHU NANTES</x:t>
        </x:is>
      </x:c>
      <x:c r="O36" t="inlineStr">
        <x:is>
          <x:t xml:space="preserve">RAW_SIRET</x:t>
        </x:is>
      </x:c>
      <x:c r="P36" t="inlineStr">
        <x:is>
          <x:t xml:space="preserve">28</x:t>
        </x:is>
      </x:c>
      <x:c r="Q36" t="inlineStr">
        <x:is>
          <x:t xml:space="preserve">2024-02-28</x:t>
        </x:is>
      </x:c>
      <x:c r="R36" t="inlineStr">
        <x:is>
          <x:t xml:space="preserve">2024-12-18</x:t>
        </x:is>
      </x:c>
      <x:c r="S36" t="inlineStr">
        <x:is>
          <x:t xml:space="preserve">9.658344283837057</x:t>
        </x:is>
      </x:c>
      <x:c r="T36" t="inlineStr">
        <x:is>
          <x:t xml:space="preserve">32510000.0</x:t>
        </x:is>
      </x:c>
      <x:c r="U36" t="inlineStr">
        <x:is>
          <x:t xml:space="preserve">DIGITAL_ICT</x:t>
        </x:is>
      </x:c>
      <x:c r="V36" t="inlineStr">
        <x:is>
          <x:t xml:space="preserve">False</x:t>
        </x:is>
      </x:c>
      <x:c r="W36" t="inlineStr">
        <x:is>
          <x:t xml:space="preserve">0.0385155481293179</x:t>
        </x:is>
      </x:c>
      <x:c r="X36" t="inlineStr">
        <x:is>
          <x:t xml:space="preserve">0.0</x:t>
        </x:is>
      </x:c>
      <x:c r="Y36" t="inlineStr">
        <x:is>
          <x:t xml:space="preserve">0.9342969776609724</x:t>
        </x:is>
      </x:c>
      <x:c r="Z36" t="inlineStr">
        <x:is>
          <x:t xml:space="preserve">1.0</x:t>
        </x:is>
      </x:c>
      <x:c r="AA36" t="inlineStr">
        <x:is>
          <x:t xml:space="preserve">0.3470546862605044</x:t>
        </x:is>
      </x:c>
      <x:c r="AB36" t="inlineStr">
        <x:is>
          <x:t xml:space="preserve"/>
        </x:is>
      </x:c>
      <x:c r="AC36" t="inlineStr">
        <x:is>
          <x:t xml:space="preserve">0.0013688129653963</x:t>
        </x:is>
      </x:c>
      <x:c r="AD36" t="inlineStr">
        <x:is>
          <x:t xml:space="preserve">13</x:t>
        </x:is>
      </x:c>
      <x:c r="AE36" s="2" t="inlineStr">
        <x:is>
          <x:t xml:space="preserve">Fourniture, intégration, maintenance et ingénierie de solutions de systèmes d'appel malades pour le compte des centres hospitaliers membres du GHT 44</x:t>
        </x:is>
      </x:c>
      <x:c r="AF36" s="2" t="inlineStr">
        <x:is>
          <x:t xml:space="preserve">Fourniture, installation, paramétrage, intégration, déploiement et maintenance d'une solution de gestion de stock et préparation du chariot d'intervention pour les futurs blocs opératoires de l'Ile de</x:t>
        </x:is>
      </x:c>
      <x:c r="AG36" t="inlineStr">
        <x:is>
          <x:t xml:space="preserve">COMPOSITE_ONLY</x:t>
        </x:is>
      </x:c>
      <x:c r="AH36" t="inlineStr">
        <x:is>
          <x:t xml:space="preserve">primary_gbm@0.230964__baseline_composite@0.343167</x:t>
        </x:is>
      </x:c>
      <x:c r="AI36" t="inlineStr">
        <x:is>
          <x:t xml:space="preserve">real_boamp_layer1</x:t>
        </x:is>
      </x:c>
    </x:row>
    <x:row r="37" ht="48" customHeight="1">
      <x:c r="A37" s="4" t="inlineStr">
        <x:is>
          <x:t xml:space="preserve">AUDIT-036</x:t>
        </x:is>
      </x:c>
      <x:c r="B37" s="4" t="inlineStr">
        <x:is>
          <x:t xml:space="preserve">composite_only</x:t>
        </x:is>
      </x:c>
      <x:c r="C37" s="4" t="str">
        <x:v>WRONG_LINK</x:v>
      </x:c>
      <x:c r="D37" s="4" t="str">
        <x:v>HIGH</x:v>
      </x:c>
      <x:c r="E37" s="4" t="str">
        <x:v>FALSE</x:v>
      </x:c>
      <x:c r="F37" s="5" t="n">
        <x:v>46240</x:v>
      </x:c>
      <x:c r="G37" s="6" t="str">
        <x:v>The source is 'Acquisition et la mise en oeuvre d'une solution de dématérialisation des marchés publics y compris prestations associées (formation, a…' while the candidate is 'Assistance à maîtrise d'ouvrage (AMO) en vue de l'accompagnement à la mise en oeuvre du Plan de continuité informatique du système d'i…'. The concrete functions/equipment are materially different; same buyer and broad digital/CPV similarity do not establish a renewal or relaunch.</x:v>
      </x:c>
      <x:c r="H37" t="inlineStr">
        <x:is>
          <x:t xml:space="preserve">18-21245</x:t>
        </x:is>
      </x:c>
      <x:c r="I37" t="inlineStr">
        <x:is>
          <x:t xml:space="preserve">18-127908</x:t>
        </x:is>
      </x:c>
      <x:c r="J37" t="inlineStr">
        <x:is>
          <x:t xml:space="preserve"/>
        </x:is>
      </x:c>
      <x:c r="K37" t="inlineStr">
        <x:is>
          <x:t xml:space="preserve">18-127908</x:t>
        </x:is>
      </x:c>
      <x:c r="L37" t="inlineStr">
        <x:is>
          <x:t xml:space="preserve">NOT_LINKED</x:t>
        </x:is>
      </x:c>
      <x:c r="M37" t="inlineStr">
        <x:is>
          <x:t xml:space="preserve">LINKED</x:t>
        </x:is>
      </x:c>
      <x:c r="N37" t="inlineStr">
        <x:is>
          <x:t xml:space="preserve">DEPARTEMENT DE LA SARTHE</x:t>
        </x:is>
      </x:c>
      <x:c r="O37" t="inlineStr">
        <x:is>
          <x:t xml:space="preserve">NAME_FALLBACK</x:t>
        </x:is>
      </x:c>
      <x:c r="P37" t="inlineStr">
        <x:is>
          <x:t xml:space="preserve">52</x:t>
        </x:is>
      </x:c>
      <x:c r="Q37" t="inlineStr">
        <x:is>
          <x:t xml:space="preserve">2018-02-14</x:t>
        </x:is>
      </x:c>
      <x:c r="R37" t="inlineStr">
        <x:is>
          <x:t xml:space="preserve">2018-09-13</x:t>
        </x:is>
      </x:c>
      <x:c r="S37" t="inlineStr">
        <x:is>
          <x:t xml:space="preserve">6.931668856767411</x:t>
        </x:is>
      </x:c>
      <x:c r="T37" t="inlineStr">
        <x:is>
          <x:t xml:space="preserve">72212490.0</x:t>
        </x:is>
      </x:c>
      <x:c r="U37" t="inlineStr">
        <x:is>
          <x:t xml:space="preserve">DIGITAL_ICT</x:t>
        </x:is>
      </x:c>
      <x:c r="V37" t="inlineStr">
        <x:is>
          <x:t xml:space="preserve">True</x:t>
        </x:is>
      </x:c>
      <x:c r="W37" t="inlineStr">
        <x:is>
          <x:t xml:space="preserve">0.0981825160295282</x:t>
        </x:is>
      </x:c>
      <x:c r="X37" t="inlineStr">
        <x:is>
          <x:t xml:space="preserve">0.4</x:t>
        </x:is>
      </x:c>
      <x:c r="Y37" t="inlineStr">
        <x:is>
          <x:t xml:space="preserve">0.835742444152431</x:t>
        </x:is>
      </x:c>
      <x:c r="Z37" t="inlineStr">
        <x:is>
          <x:t xml:space="preserve">0.6</x:t>
        </x:is>
      </x:c>
      <x:c r="AA37" t="inlineStr">
        <x:is>
          <x:t xml:space="preserve">0.4232994916484426</x:t>
        </x:is>
      </x:c>
      <x:c r="AB37" t="inlineStr">
        <x:is>
          <x:t xml:space="preserve"/>
        </x:is>
      </x:c>
      <x:c r="AC37" t="inlineStr">
        <x:is>
          <x:t xml:space="preserve">0.0156779037361409</x:t>
        </x:is>
      </x:c>
      <x:c r="AD37" t="inlineStr">
        <x:is>
          <x:t xml:space="preserve">11</x:t>
        </x:is>
      </x:c>
      <x:c r="AE37" s="2" t="inlineStr">
        <x:is>
          <x:t xml:space="preserve">Acquisition et la mise en oeuvre d'une solution de dématérialisation des marchés publics y compris prestations associées (formation, assistance technique, maintenance)</x:t>
        </x:is>
      </x:c>
      <x:c r="AF37" s="2" t="inlineStr">
        <x:is>
          <x:t xml:space="preserve">Assistance à maîtrise d'ouvrage (AMO) en vue de l'accompagnement à la mise en oeuvre du Plan de continuité informatique du système d'information du Département de la Sarthe</x:t>
        </x:is>
      </x:c>
      <x:c r="AG37" t="inlineStr">
        <x:is>
          <x:t xml:space="preserve">COMPOSITE_ONLY</x:t>
        </x:is>
      </x:c>
      <x:c r="AH37" t="inlineStr">
        <x:is>
          <x:t xml:space="preserve">primary_gbm@0.230964__baseline_composite@0.343167</x:t>
        </x:is>
      </x:c>
      <x:c r="AI37" t="inlineStr">
        <x:is>
          <x:t xml:space="preserve">real_boamp_layer1</x:t>
        </x:is>
      </x:c>
    </x:row>
    <x:row r="38" ht="48" customHeight="1">
      <x:c r="A38" s="4" t="inlineStr">
        <x:is>
          <x:t xml:space="preserve">AUDIT-037</x:t>
        </x:is>
      </x:c>
      <x:c r="B38" s="4" t="inlineStr">
        <x:is>
          <x:t xml:space="preserve">composite_only</x:t>
        </x:is>
      </x:c>
      <x:c r="C38" s="4" t="str">
        <x:v>WRONG_LINK</x:v>
      </x:c>
      <x:c r="D38" s="4" t="str">
        <x:v>HIGH</x:v>
      </x:c>
      <x:c r="E38" s="4" t="str">
        <x:v>FALSE</x:v>
      </x:c>
      <x:c r="F38" s="5" t="n">
        <x:v>46240</x:v>
      </x:c>
      <x:c r="G38" s="6" t="str">
        <x:v>The source is 'fourniture de pistolets à impulsion électrique, munitions et accessoires pour la police municipale de la ville de nantes' while the candidate is 'fourniture de vêtements et chaussures pour les agents de la police municipale, de la police métropolitaine des transports en commun et…'. The concrete functions/equipment are materially different; same buyer and broad digital/CPV similarity do not establish a renewal or relaunch.</x:v>
      </x:c>
      <x:c r="H38" t="inlineStr">
        <x:is>
          <x:t xml:space="preserve">19-109269</x:t>
        </x:is>
      </x:c>
      <x:c r="I38" t="inlineStr">
        <x:is>
          <x:t xml:space="preserve">20-29934</x:t>
        </x:is>
      </x:c>
      <x:c r="J38" t="inlineStr">
        <x:is>
          <x:t xml:space="preserve"/>
        </x:is>
      </x:c>
      <x:c r="K38" t="inlineStr">
        <x:is>
          <x:t xml:space="preserve">20-29934</x:t>
        </x:is>
      </x:c>
      <x:c r="L38" t="inlineStr">
        <x:is>
          <x:t xml:space="preserve">NOT_LINKED</x:t>
        </x:is>
      </x:c>
      <x:c r="M38" t="inlineStr">
        <x:is>
          <x:t xml:space="preserve">LINKED</x:t>
        </x:is>
      </x:c>
      <x:c r="N38" t="inlineStr">
        <x:is>
          <x:t xml:space="preserve">Ville de Nantes</x:t>
        </x:is>
      </x:c>
      <x:c r="O38" t="inlineStr">
        <x:is>
          <x:t xml:space="preserve">NAME_FALLBACK</x:t>
        </x:is>
      </x:c>
      <x:c r="P38" t="inlineStr">
        <x:is>
          <x:t xml:space="preserve">36</x:t>
        </x:is>
      </x:c>
      <x:c r="Q38" t="inlineStr">
        <x:is>
          <x:t xml:space="preserve">2019-08-02</x:t>
        </x:is>
      </x:c>
      <x:c r="R38" t="inlineStr">
        <x:is>
          <x:t xml:space="preserve">2020-02-28</x:t>
        </x:is>
      </x:c>
      <x:c r="S38" t="inlineStr">
        <x:is>
          <x:t xml:space="preserve">6.898817345597897</x:t>
        </x:is>
      </x:c>
      <x:c r="T38" t="inlineStr">
        <x:is>
          <x:t xml:space="preserve">35300000.0</x:t>
        </x:is>
      </x:c>
      <x:c r="U38" t="inlineStr">
        <x:is>
          <x:t xml:space="preserve">DIGITAL_ICT</x:t>
        </x:is>
      </x:c>
      <x:c r="V38" t="inlineStr">
        <x:is>
          <x:t xml:space="preserve">True</x:t>
        </x:is>
      </x:c>
      <x:c r="W38" t="inlineStr">
        <x:is>
          <x:t xml:space="preserve">0.2706269894504728</x:t>
        </x:is>
      </x:c>
      <x:c r="X38" t="inlineStr">
        <x:is>
          <x:t xml:space="preserve">0.2</x:t>
        </x:is>
      </x:c>
      <x:c r="Y38" t="inlineStr">
        <x:is>
          <x:t xml:space="preserve">0.687910643889619</x:t>
        </x:is>
      </x:c>
      <x:c r="Z38" t="inlineStr">
        <x:is>
          <x:t xml:space="preserve">0.6</x:t>
        </x:is>
      </x:c>
      <x:c r="AA38" t="inlineStr">
        <x:is>
          <x:t xml:space="preserve">0.3866971072800702</x:t>
        </x:is>
      </x:c>
      <x:c r="AB38" t="inlineStr">
        <x:is>
          <x:t xml:space="preserve"/>
        </x:is>
      </x:c>
      <x:c r="AC38" t="inlineStr">
        <x:is>
          <x:t xml:space="preserve">0.076587493954354</x:t>
        </x:is>
      </x:c>
      <x:c r="AD38" t="inlineStr">
        <x:is>
          <x:t xml:space="preserve">2</x:t>
        </x:is>
      </x:c>
      <x:c r="AE38" s="2" t="inlineStr">
        <x:is>
          <x:t xml:space="preserve">fourniture de pistolets à impulsion électrique, munitions et accessoires pour la police municipale de la ville de nantes</x:t>
        </x:is>
      </x:c>
      <x:c r="AF38" s="2" t="inlineStr">
        <x:is>
          <x:t xml:space="preserve">fourniture de vêtements et chaussures pour les agents de la police municipale, de la police métropolitaine des transports en commun et du service stationnement sur voirie</x:t>
        </x:is>
      </x:c>
      <x:c r="AG38" t="inlineStr">
        <x:is>
          <x:t xml:space="preserve">COMPOSITE_ONLY</x:t>
        </x:is>
      </x:c>
      <x:c r="AH38" t="inlineStr">
        <x:is>
          <x:t xml:space="preserve">primary_gbm@0.230964__baseline_composite@0.343167</x:t>
        </x:is>
      </x:c>
      <x:c r="AI38" t="inlineStr">
        <x:is>
          <x:t xml:space="preserve">real_boamp_layer1</x:t>
        </x:is>
      </x:c>
    </x:row>
    <x:row r="39" ht="48" customHeight="1">
      <x:c r="A39" s="4" t="inlineStr">
        <x:is>
          <x:t xml:space="preserve">AUDIT-038</x:t>
        </x:is>
      </x:c>
      <x:c r="B39" s="4" t="inlineStr">
        <x:is>
          <x:t xml:space="preserve">composite_only</x:t>
        </x:is>
      </x:c>
      <x:c r="C39" s="4" t="str">
        <x:v>WRONG_LINK</x:v>
      </x:c>
      <x:c r="D39" s="4" t="str">
        <x:v>HIGH</x:v>
      </x:c>
      <x:c r="E39" s="4" t="str">
        <x:v>FALSE</x:v>
      </x:c>
      <x:c r="F39" s="5" t="n">
        <x:v>46240</x:v>
      </x:c>
      <x:c r="G39" s="6" t="str">
        <x:v>The source is '17s0056 - renouvellement des infrastructures de stockage informatique' while the candidate is '18s0029- acquisition et maintenance d'un logiciel de gestion d'activités pour l'espace public pour la ville de saint nazaire et la car…'. The concrete functions/equipment are materially different; same buyer and broad digital/CPV similarity do not establish a renewal or relaunch.</x:v>
      </x:c>
      <x:c r="H39" t="inlineStr">
        <x:is>
          <x:t xml:space="preserve">17-100105</x:t>
        </x:is>
      </x:c>
      <x:c r="I39" t="inlineStr">
        <x:is>
          <x:t xml:space="preserve">18-38591</x:t>
        </x:is>
      </x:c>
      <x:c r="J39" t="inlineStr">
        <x:is>
          <x:t xml:space="preserve"/>
        </x:is>
      </x:c>
      <x:c r="K39" t="inlineStr">
        <x:is>
          <x:t xml:space="preserve">18-38591</x:t>
        </x:is>
      </x:c>
      <x:c r="L39" t="inlineStr">
        <x:is>
          <x:t xml:space="preserve">NOT_LINKED</x:t>
        </x:is>
      </x:c>
      <x:c r="M39" t="inlineStr">
        <x:is>
          <x:t xml:space="preserve">LINKED</x:t>
        </x:is>
      </x:c>
      <x:c r="N39" t="inlineStr">
        <x:is>
          <x:t xml:space="preserve">Commune de Saint-Nazaire</x:t>
        </x:is>
      </x:c>
      <x:c r="O39" t="inlineStr">
        <x:is>
          <x:t xml:space="preserve">NAME_FALLBACK</x:t>
        </x:is>
      </x:c>
      <x:c r="P39" t="inlineStr">
        <x:is>
          <x:t xml:space="preserve">24</x:t>
        </x:is>
      </x:c>
      <x:c r="Q39" t="inlineStr">
        <x:is>
          <x:t xml:space="preserve">2017-07-20</x:t>
        </x:is>
      </x:c>
      <x:c r="R39" t="inlineStr">
        <x:is>
          <x:t xml:space="preserve">2018-03-21</x:t>
        </x:is>
      </x:c>
      <x:c r="S39" t="inlineStr">
        <x:is>
          <x:t xml:space="preserve">8.015768725361367</x:t>
        </x:is>
      </x:c>
      <x:c r="T39" t="inlineStr">
        <x:is>
          <x:t xml:space="preserve">48000000.0</x:t>
        </x:is>
      </x:c>
      <x:c r="U39" t="inlineStr">
        <x:is>
          <x:t xml:space="preserve">DIGITAL_ICT</x:t>
        </x:is>
      </x:c>
      <x:c r="V39" t="inlineStr">
        <x:is>
          <x:t xml:space="preserve">True</x:t>
        </x:is>
      </x:c>
      <x:c r="W39" t="inlineStr">
        <x:is>
          <x:t xml:space="preserve">0.0086704414364059</x:t>
        </x:is>
      </x:c>
      <x:c r="X39" t="inlineStr">
        <x:is>
          <x:t xml:space="preserve">1.0</x:t>
        </x:is>
      </x:c>
      <x:c r="Y39" t="inlineStr">
        <x:is>
          <x:t xml:space="preserve">0.6824353920280333</x:t>
        </x:is>
      </x:c>
      <x:c r="Z39" t="inlineStr">
        <x:is>
          <x:t xml:space="preserve">0.6</x:t>
        </x:is>
      </x:c>
      <x:c r="AA39" t="inlineStr">
        <x:is>
          <x:t xml:space="preserve">0.5336435025097503</x:t>
        </x:is>
      </x:c>
      <x:c r="AB39" t="inlineStr">
        <x:is>
          <x:t xml:space="preserve"/>
        </x:is>
      </x:c>
      <x:c r="AC39" t="inlineStr">
        <x:is>
          <x:t xml:space="preserve">0.0015325155547349</x:t>
        </x:is>
      </x:c>
      <x:c r="AD39" t="inlineStr">
        <x:is>
          <x:t xml:space="preserve">9</x:t>
        </x:is>
      </x:c>
      <x:c r="AE39" s="2" t="inlineStr">
        <x:is>
          <x:t xml:space="preserve">17s0056 - renouvellement des infrastructures de stockage informatique</x:t>
        </x:is>
      </x:c>
      <x:c r="AF39" s="2" t="inlineStr">
        <x:is>
          <x:t xml:space="preserve">18s0029- acquisition et maintenance d'un logiciel de gestion d'activités pour l'espace public pour la ville de saint nazaire et la carene (groupement de commande-coordonnateur ville de saint-nazaire)</x:t>
        </x:is>
      </x:c>
      <x:c r="AG39" t="inlineStr">
        <x:is>
          <x:t xml:space="preserve">COMPOSITE_ONLY</x:t>
        </x:is>
      </x:c>
      <x:c r="AH39" t="inlineStr">
        <x:is>
          <x:t xml:space="preserve">primary_gbm@0.230964__baseline_composite@0.343167</x:t>
        </x:is>
      </x:c>
      <x:c r="AI39" t="inlineStr">
        <x:is>
          <x:t xml:space="preserve">real_boamp_layer1</x:t>
        </x:is>
      </x:c>
    </x:row>
    <x:row r="40" ht="48" customHeight="1">
      <x:c r="A40" s="4" t="inlineStr">
        <x:is>
          <x:t xml:space="preserve">AUDIT-039</x:t>
        </x:is>
      </x:c>
      <x:c r="B40" s="4" t="inlineStr">
        <x:is>
          <x:t xml:space="preserve">composite_only</x:t>
        </x:is>
      </x:c>
      <x:c r="C40" s="4" t="str">
        <x:v>WRONG_LINK</x:v>
      </x:c>
      <x:c r="D40" s="4" t="str">
        <x:v>HIGH</x:v>
      </x:c>
      <x:c r="E40" s="4" t="str">
        <x:v>FALSE</x:v>
      </x:c>
      <x:c r="F40" s="5" t="n">
        <x:v>46240</x:v>
      </x:c>
      <x:c r="G40" s="6" t="str">
        <x:v>The candidate concerns water-quality phytoplankton analysis and is itself a rectificatif linked to notice 23-23775; the source concerns outdoor interpretation/scenography. It cannot be the source successor.</x:v>
      </x:c>
      <x:c r="H40" t="inlineStr">
        <x:is>
          <x:t xml:space="preserve">22-122955</x:t>
        </x:is>
      </x:c>
      <x:c r="I40" t="inlineStr">
        <x:is>
          <x:t xml:space="preserve">23-34018</x:t>
        </x:is>
      </x:c>
      <x:c r="J40" t="inlineStr">
        <x:is>
          <x:t xml:space="preserve"/>
        </x:is>
      </x:c>
      <x:c r="K40" t="inlineStr">
        <x:is>
          <x:t xml:space="preserve">23-34018</x:t>
        </x:is>
      </x:c>
      <x:c r="L40" t="inlineStr">
        <x:is>
          <x:t xml:space="preserve">NOT_LINKED</x:t>
        </x:is>
      </x:c>
      <x:c r="M40" t="inlineStr">
        <x:is>
          <x:t xml:space="preserve">LINKED</x:t>
        </x:is>
      </x:c>
      <x:c r="N40" t="inlineStr">
        <x:is>
          <x:t xml:space="preserve">DEPARTEMENT DE LA MAYENNE</x:t>
        </x:is>
      </x:c>
      <x:c r="O40" t="inlineStr">
        <x:is>
          <x:t xml:space="preserve">NAME_FALLBACK</x:t>
        </x:is>
      </x:c>
      <x:c r="P40" t="inlineStr">
        <x:is>
          <x:t xml:space="preserve">18</x:t>
        </x:is>
      </x:c>
      <x:c r="Q40" t="inlineStr">
        <x:is>
          <x:t xml:space="preserve">2022-09-13</x:t>
        </x:is>
      </x:c>
      <x:c r="R40" t="inlineStr">
        <x:is>
          <x:t xml:space="preserve">2023-03-14</x:t>
        </x:is>
      </x:c>
      <x:c r="S40" t="inlineStr">
        <x:is>
          <x:t xml:space="preserve">5.978975032851511</x:t>
        </x:is>
      </x:c>
      <x:c r="T40" t="inlineStr">
        <x:is>
          <x:t xml:space="preserve"/>
        </x:is>
      </x:c>
      <x:c r="U40" t="inlineStr">
        <x:is>
          <x:t xml:space="preserve">DIGITAL_ICT</x:t>
        </x:is>
      </x:c>
      <x:c r="V40" t="inlineStr">
        <x:is>
          <x:t xml:space="preserve">True</x:t>
        </x:is>
      </x:c>
      <x:c r="W40" t="inlineStr">
        <x:is>
          <x:t xml:space="preserve">0.2422211017603772</x:t>
        </x:is>
      </x:c>
      <x:c r="X40" t="inlineStr">
        <x:is>
          <x:t xml:space="preserve">0.1</x:t>
        </x:is>
      </x:c>
      <x:c r="Y40" t="inlineStr">
        <x:is>
          <x:t xml:space="preserve">0.9945247481384144</x:t>
        </x:is>
      </x:c>
      <x:c r="Z40" t="inlineStr">
        <x:is>
          <x:t xml:space="preserve">0.6</x:t>
        </x:is>
      </x:c>
      <x:c r="AA40" t="inlineStr">
        <x:is>
          <x:t xml:space="preserve">0.4234085726507356</x:t>
        </x:is>
      </x:c>
      <x:c r="AB40" t="inlineStr">
        <x:is>
          <x:t xml:space="preserve"/>
        </x:is>
      </x:c>
      <x:c r="AC40" t="inlineStr">
        <x:is>
          <x:t xml:space="preserve">0.0273762593079281</x:t>
        </x:is>
      </x:c>
      <x:c r="AD40" t="inlineStr">
        <x:is>
          <x:t xml:space="preserve">2</x:t>
        </x:is>
      </x:c>
      <x:c r="AE40" s="2" t="inlineStr">
        <x:is>
          <x:t xml:space="preserve">Valorisation de l'Espace Naturel Sensible LAC DE HAUTE MAYENNE - Conception et suivi de réalisation de la scénographie de deux parcours d'interprétation extérieurs</x:t>
        </x:is>
      </x:c>
      <x:c r="AF40" s="2" t="inlineStr">
        <x:is>
          <x:t xml:space="preserve">Lac de Haute Mayenne - Observatoire de la qualité de l'eau 2023-2026 - Analyses de phytoplancton et interprétation des résultats</x:t>
        </x:is>
      </x:c>
      <x:c r="AG40" t="inlineStr">
        <x:is>
          <x:t xml:space="preserve">COMPOSITE_ONLY</x:t>
        </x:is>
      </x:c>
      <x:c r="AH40" t="inlineStr">
        <x:is>
          <x:t xml:space="preserve">primary_gbm@0.230964__baseline_composite@0.343167</x:t>
        </x:is>
      </x:c>
      <x:c r="AI40" t="inlineStr">
        <x:is>
          <x:t xml:space="preserve">real_boamp_layer1</x:t>
        </x:is>
      </x:c>
    </x:row>
    <x:row r="41" ht="48" customHeight="1">
      <x:c r="A41" s="4" t="inlineStr">
        <x:is>
          <x:t xml:space="preserve">AUDIT-040</x:t>
        </x:is>
      </x:c>
      <x:c r="B41" s="4" t="inlineStr">
        <x:is>
          <x:t xml:space="preserve">composite_only</x:t>
        </x:is>
      </x:c>
      <x:c r="C41" s="4" t="str">
        <x:v>WRONG_LINK</x:v>
      </x:c>
      <x:c r="D41" s="4" t="str">
        <x:v>MEDIUM</x:v>
      </x:c>
      <x:c r="E41" s="4" t="str">
        <x:v>TRUE</x:v>
      </x:c>
      <x:c r="F41" s="5" t="n">
        <x:v>46240</x:v>
      </x:c>
      <x:c r="G41" s="6" t="str">
        <x:v>The source is 'Maintenance et évolutions de l'infrastructure de sécurité informatique' while the candidate is 'Renouvellement et exploitation du système d'information multimodale DESTINEO en Région des Pays de la Loire - Lot no4: Prestations d'e…'. The concrete functions/equipment are materially different; same buyer and broad digital/CPV similarity do not establish a renewal or relaunch.</x:v>
      </x:c>
      <x:c r="H41" t="inlineStr">
        <x:is>
          <x:t xml:space="preserve">17-48788</x:t>
        </x:is>
      </x:c>
      <x:c r="I41" t="inlineStr">
        <x:is>
          <x:t xml:space="preserve">18-12119</x:t>
        </x:is>
      </x:c>
      <x:c r="J41" t="inlineStr">
        <x:is>
          <x:t xml:space="preserve"/>
        </x:is>
      </x:c>
      <x:c r="K41" t="inlineStr">
        <x:is>
          <x:t xml:space="preserve">18-12119</x:t>
        </x:is>
      </x:c>
      <x:c r="L41" t="inlineStr">
        <x:is>
          <x:t xml:space="preserve">NOT_LINKED</x:t>
        </x:is>
      </x:c>
      <x:c r="M41" t="inlineStr">
        <x:is>
          <x:t xml:space="preserve">LINKED</x:t>
        </x:is>
      </x:c>
      <x:c r="N41" t="inlineStr">
        <x:is>
          <x:t xml:space="preserve">Conseil régional des Pays de la Loire</x:t>
        </x:is>
      </x:c>
      <x:c r="O41" t="inlineStr">
        <x:is>
          <x:t xml:space="preserve">NAME_FALLBACK</x:t>
        </x:is>
      </x:c>
      <x:c r="P41" t="inlineStr">
        <x:is>
          <x:t xml:space="preserve">70</x:t>
        </x:is>
      </x:c>
      <x:c r="Q41" t="inlineStr">
        <x:is>
          <x:t xml:space="preserve">2017-04-06</x:t>
        </x:is>
      </x:c>
      <x:c r="R41" t="inlineStr">
        <x:is>
          <x:t xml:space="preserve">2018-01-28</x:t>
        </x:is>
      </x:c>
      <x:c r="S41" t="inlineStr">
        <x:is>
          <x:t xml:space="preserve">9.756898817345595</x:t>
        </x:is>
      </x:c>
      <x:c r="T41" t="inlineStr">
        <x:is>
          <x:t xml:space="preserve">72200000.0</x:t>
        </x:is>
      </x:c>
      <x:c r="U41" t="inlineStr">
        <x:is>
          <x:t xml:space="preserve">DIGITAL_ICT</x:t>
        </x:is>
      </x:c>
      <x:c r="V41" t="inlineStr">
        <x:is>
          <x:t xml:space="preserve">True</x:t>
        </x:is>
      </x:c>
      <x:c r="W41" t="inlineStr">
        <x:is>
          <x:t xml:space="preserve">0.0083649151105034</x:t>
        </x:is>
      </x:c>
      <x:c r="X41" t="inlineStr">
        <x:is>
          <x:t xml:space="preserve">0.2</x:t>
        </x:is>
      </x:c>
      <x:c r="Y41" t="inlineStr">
        <x:is>
          <x:t xml:space="preserve">0.9233464739378012</x:t>
        </x:is>
      </x:c>
      <x:c r="Z41" t="inlineStr">
        <x:is>
          <x:t xml:space="preserve">0.6</x:t>
        </x:is>
      </x:c>
      <x:c r="AA41" t="inlineStr">
        <x:is>
          <x:t xml:space="preserve">0.3537643387731264</x:t>
        </x:is>
      </x:c>
      <x:c r="AB41" t="inlineStr">
        <x:is>
          <x:t xml:space="preserve"/>
        </x:is>
      </x:c>
      <x:c r="AC41" t="inlineStr">
        <x:is>
          <x:t xml:space="preserve">0.0285033085932644</x:t>
        </x:is>
      </x:c>
      <x:c r="AD41" t="inlineStr">
        <x:is>
          <x:t xml:space="preserve">13</x:t>
        </x:is>
      </x:c>
      <x:c r="AE41" s="2" t="inlineStr">
        <x:is>
          <x:t xml:space="preserve">Maintenance et évolutions de l'infrastructure de sécurité informatique</x:t>
        </x:is>
      </x:c>
      <x:c r="AF41" s="2" t="inlineStr">
        <x:is>
          <x:t xml:space="preserve">Renouvellement et exploitation du système d'information multimodale DESTINEO en Région des Pays de la Loire - Lot no4: Prestations d'exploitation</x:t>
        </x:is>
      </x:c>
      <x:c r="AG41" t="inlineStr">
        <x:is>
          <x:t xml:space="preserve">COMPOSITE_ONLY</x:t>
        </x:is>
      </x:c>
      <x:c r="AH41" t="inlineStr">
        <x:is>
          <x:t xml:space="preserve">primary_gbm@0.230964__baseline_composite@0.343167</x:t>
        </x:is>
      </x:c>
      <x:c r="AI41" t="inlineStr">
        <x:is>
          <x:t xml:space="preserve">real_boamp_layer1</x:t>
        </x:is>
      </x:c>
    </x:row>
    <x:row r="42" ht="48" customHeight="1">
      <x:c r="A42" s="4" t="inlineStr">
        <x:is>
          <x:t xml:space="preserve">AUDIT-041</x:t>
        </x:is>
      </x:c>
      <x:c r="B42" s="4" t="inlineStr">
        <x:is>
          <x:t xml:space="preserve">composite_only</x:t>
        </x:is>
      </x:c>
      <x:c r="C42" s="4" t="str">
        <x:v>CORRECT_LINK</x:v>
      </x:c>
      <x:c r="D42" s="4" t="str">
        <x:v>MEDIUM</x:v>
      </x:c>
      <x:c r="E42" s="4" t="str">
        <x:v>TRUE</x:v>
      </x:c>
      <x:c r="F42" s="5" t="n">
        <x:v>46240</x:v>
      </x:c>
      <x:c r="G42" s="6" t="str">
        <x:v>Both notices procure the same digital tourism campaign for Maine-et-Loire. The candidate is specifically the 2016 campaign and follows the 2015 campaign, supporting a recurring annual procurement need.</x:v>
      </x:c>
      <x:c r="H42" t="inlineStr">
        <x:is>
          <x:t xml:space="preserve">15-42765</x:t>
        </x:is>
      </x:c>
      <x:c r="I42" t="inlineStr">
        <x:is>
          <x:t xml:space="preserve">15-167650</x:t>
        </x:is>
      </x:c>
      <x:c r="J42" t="inlineStr">
        <x:is>
          <x:t xml:space="preserve"/>
        </x:is>
      </x:c>
      <x:c r="K42" t="inlineStr">
        <x:is>
          <x:t xml:space="preserve">15-167650</x:t>
        </x:is>
      </x:c>
      <x:c r="L42" t="inlineStr">
        <x:is>
          <x:t xml:space="preserve">NOT_LINKED</x:t>
        </x:is>
      </x:c>
      <x:c r="M42" t="inlineStr">
        <x:is>
          <x:t xml:space="preserve">LINKED</x:t>
        </x:is>
      </x:c>
      <x:c r="N42" t="inlineStr">
        <x:is>
          <x:t xml:space="preserve">CG49</x:t>
        </x:is>
      </x:c>
      <x:c r="O42" t="inlineStr">
        <x:is>
          <x:t xml:space="preserve">NAME_FALLBACK</x:t>
        </x:is>
      </x:c>
      <x:c r="P42" t="inlineStr">
        <x:is>
          <x:t xml:space="preserve">6</x:t>
        </x:is>
      </x:c>
      <x:c r="Q42" t="inlineStr">
        <x:is>
          <x:t xml:space="preserve">2015-03-20</x:t>
        </x:is>
      </x:c>
      <x:c r="R42" t="inlineStr">
        <x:is>
          <x:t xml:space="preserve">2015-11-03</x:t>
        </x:is>
      </x:c>
      <x:c r="S42" t="inlineStr">
        <x:is>
          <x:t xml:space="preserve">7.490144546649145</x:t>
        </x:is>
      </x:c>
      <x:c r="T42" t="inlineStr">
        <x:is>
          <x:t xml:space="preserve"/>
        </x:is>
      </x:c>
      <x:c r="U42" t="inlineStr">
        <x:is>
          <x:t xml:space="preserve">DIGITAL_ICT</x:t>
        </x:is>
      </x:c>
      <x:c r="V42" t="inlineStr">
        <x:is>
          <x:t xml:space="preserve">True</x:t>
        </x:is>
      </x:c>
      <x:c r="W42" t="inlineStr">
        <x:is>
          <x:t xml:space="preserve">0.3503941520167254</x:t>
        </x:is>
      </x:c>
      <x:c r="X42" t="inlineStr">
        <x:is>
          <x:t xml:space="preserve">0.1</x:t>
        </x:is>
      </x:c>
      <x:c r="Y42" t="inlineStr">
        <x:is>
          <x:t xml:space="preserve">0.7590889180902322</x:t>
        </x:is>
      </x:c>
      <x:c r="Z42" t="inlineStr">
        <x:is>
          <x:t xml:space="preserve">0.6</x:t>
        </x:is>
      </x:c>
      <x:c r="AA42" t="inlineStr">
        <x:is>
          <x:t xml:space="preserve">0.4024101827284119</x:t>
        </x:is>
      </x:c>
      <x:c r="AB42" t="inlineStr">
        <x:is>
          <x:t xml:space="preserve"/>
        </x:is>
      </x:c>
      <x:c r="AC42" t="inlineStr">
        <x:is>
          <x:t xml:space="preserve">0.1269508318350036</x:t>
        </x:is>
      </x:c>
      <x:c r="AD42" t="inlineStr">
        <x:is>
          <x:t xml:space="preserve">5</x:t>
        </x:is>
      </x:c>
      <x:c r="AE42" s="2" t="inlineStr">
        <x:is>
          <x:t xml:space="preserve">Stratégie et mise en oeuvre d'une campagne de communication numérique et réalisation de films thématiques</x:t>
        </x:is>
      </x:c>
      <x:c r="AF42" s="2" t="inlineStr">
        <x:is>
          <x:t xml:space="preserve">Campagne de communication numérique 2016 pour la promotion touristique du département de Maine-et-Loire</x:t>
        </x:is>
      </x:c>
      <x:c r="AG42" t="inlineStr">
        <x:is>
          <x:t xml:space="preserve">COMPOSITE_ONLY</x:t>
        </x:is>
      </x:c>
      <x:c r="AH42" t="inlineStr">
        <x:is>
          <x:t xml:space="preserve">primary_gbm@0.230964__baseline_composite@0.343167</x:t>
        </x:is>
      </x:c>
      <x:c r="AI42" t="inlineStr">
        <x:is>
          <x:t xml:space="preserve">real_boamp_layer1</x:t>
        </x:is>
      </x:c>
    </x:row>
    <x:row r="43" ht="48" customHeight="1">
      <x:c r="A43" s="4" t="inlineStr">
        <x:is>
          <x:t xml:space="preserve">AUDIT-042</x:t>
        </x:is>
      </x:c>
      <x:c r="B43" s="4" t="inlineStr">
        <x:is>
          <x:t xml:space="preserve">composite_only</x:t>
        </x:is>
      </x:c>
      <x:c r="C43" s="4" t="str">
        <x:v>WRONG_LINK</x:v>
      </x:c>
      <x:c r="D43" s="4" t="str">
        <x:v>MEDIUM</x:v>
      </x:c>
      <x:c r="E43" s="4" t="str">
        <x:v>TRUE</x:v>
      </x:c>
      <x:c r="F43" s="5" t="n">
        <x:v>46240</x:v>
      </x:c>
      <x:c r="G43" s="6" t="str">
        <x:v>The source record is an ANNULATION for planning software, while the candidate is a separate ticketing-software procurement. Neither the notice lifecycle nor the functional object supports a renewal link.</x:v>
      </x:c>
      <x:c r="H43" t="inlineStr">
        <x:is>
          <x:t xml:space="preserve">20-61243</x:t>
        </x:is>
      </x:c>
      <x:c r="I43" t="inlineStr">
        <x:is>
          <x:t xml:space="preserve">20-122198</x:t>
        </x:is>
      </x:c>
      <x:c r="J43" t="inlineStr">
        <x:is>
          <x:t xml:space="preserve"/>
        </x:is>
      </x:c>
      <x:c r="K43" t="inlineStr">
        <x:is>
          <x:t xml:space="preserve">20-122198</x:t>
        </x:is>
      </x:c>
      <x:c r="L43" t="inlineStr">
        <x:is>
          <x:t xml:space="preserve">NOT_LINKED</x:t>
        </x:is>
      </x:c>
      <x:c r="M43" t="inlineStr">
        <x:is>
          <x:t xml:space="preserve">LINKED</x:t>
        </x:is>
      </x:c>
      <x:c r="N43" t="inlineStr">
        <x:is>
          <x:t xml:space="preserve">ANGERS NANTES OPERA syndicat mixte</x:t>
        </x:is>
      </x:c>
      <x:c r="O43" t="inlineStr">
        <x:is>
          <x:t xml:space="preserve">NAME_FALLBACK</x:t>
        </x:is>
      </x:c>
      <x:c r="P43" t="inlineStr">
        <x:is>
          <x:t xml:space="preserve">5</x:t>
        </x:is>
      </x:c>
      <x:c r="Q43" t="inlineStr">
        <x:is>
          <x:t xml:space="preserve">2020-05-07</x:t>
        </x:is>
      </x:c>
      <x:c r="R43" t="inlineStr">
        <x:is>
          <x:t xml:space="preserve">2020-10-06</x:t>
        </x:is>
      </x:c>
      <x:c r="S43" t="inlineStr">
        <x:is>
          <x:t xml:space="preserve">4.993429697766097</x:t>
        </x:is>
      </x:c>
      <x:c r="T43" t="inlineStr">
        <x:is>
          <x:t xml:space="preserve"/>
        </x:is>
      </x:c>
      <x:c r="U43" t="inlineStr">
        <x:is>
          <x:t xml:space="preserve">DIGITAL_ICT</x:t>
        </x:is>
      </x:c>
      <x:c r="V43" t="inlineStr">
        <x:is>
          <x:t xml:space="preserve">True</x:t>
        </x:is>
      </x:c>
      <x:c r="W43" t="inlineStr">
        <x:is>
          <x:t xml:space="preserve">0.7873227297174427</x:t>
        </x:is>
      </x:c>
      <x:c r="X43" t="inlineStr">
        <x:is>
          <x:t xml:space="preserve">0.1</x:t>
        </x:is>
      </x:c>
      <x:c r="Y43" t="inlineStr">
        <x:is>
          <x:t xml:space="preserve">0.8247919404292597</x:t>
        </x:is>
      </x:c>
      <x:c r="Z43" t="inlineStr">
        <x:is>
          <x:t xml:space="preserve">0.6</x:t>
        </x:is>
      </x:c>
      <x:c r="AA43" t="inlineStr">
        <x:is>
          <x:t xml:space="preserve">0.5717609405084199</x:t>
        </x:is>
      </x:c>
      <x:c r="AB43" t="inlineStr">
        <x:is>
          <x:t xml:space="preserve"/>
        </x:is>
      </x:c>
      <x:c r="AC43" t="inlineStr">
        <x:is>
          <x:t xml:space="preserve">0.1171967705566021</x:t>
        </x:is>
      </x:c>
      <x:c r="AD43" t="inlineStr">
        <x:is>
          <x:t xml:space="preserve">2</x:t>
        </x:is>
      </x:c>
      <x:c r="AE43" s="2" t="inlineStr">
        <x:is>
          <x:t xml:space="preserve">acquisition, mise en oeuvre complète et maintenance d'un logiciel de planification</x:t>
        </x:is>
      </x:c>
      <x:c r="AF43" s="2" t="inlineStr">
        <x:is>
          <x:t xml:space="preserve">acquisition, mise en oeuvre complète et maintenance d'un logiciel de billetterie</x:t>
        </x:is>
      </x:c>
      <x:c r="AG43" t="inlineStr">
        <x:is>
          <x:t xml:space="preserve">COMPOSITE_ONLY</x:t>
        </x:is>
      </x:c>
      <x:c r="AH43" t="inlineStr">
        <x:is>
          <x:t xml:space="preserve">primary_gbm@0.230964__baseline_composite@0.343167</x:t>
        </x:is>
      </x:c>
      <x:c r="AI43" t="inlineStr">
        <x:is>
          <x:t xml:space="preserve">real_boamp_layer1</x:t>
        </x:is>
      </x:c>
    </x:row>
    <x:row r="44" ht="48" customHeight="1">
      <x:c r="A44" s="4" t="inlineStr">
        <x:is>
          <x:t xml:space="preserve">AUDIT-043</x:t>
        </x:is>
      </x:c>
      <x:c r="B44" s="4" t="inlineStr">
        <x:is>
          <x:t xml:space="preserve">composite_only</x:t>
        </x:is>
      </x:c>
      <x:c r="C44" s="4" t="str">
        <x:v>WRONG_LINK</x:v>
      </x:c>
      <x:c r="D44" s="4" t="str">
        <x:v>HIGH</x:v>
      </x:c>
      <x:c r="E44" s="4" t="str">
        <x:v>FALSE</x:v>
      </x:c>
      <x:c r="F44" s="5" t="n">
        <x:v>46240</x:v>
      </x:c>
      <x:c r="G44" s="6" t="str">
        <x:v>The candidate is an ANNULATION explicitly linked to the source notice. It is the same procedure's cancellation, not a later renewal or relaunch.</x:v>
      </x:c>
      <x:c r="H44" t="inlineStr">
        <x:is>
          <x:t xml:space="preserve">23-69649</x:t>
        </x:is>
      </x:c>
      <x:c r="I44" t="inlineStr">
        <x:is>
          <x:t xml:space="preserve">23-70292</x:t>
        </x:is>
      </x:c>
      <x:c r="J44" t="inlineStr">
        <x:is>
          <x:t xml:space="preserve"/>
        </x:is>
      </x:c>
      <x:c r="K44" t="inlineStr">
        <x:is>
          <x:t xml:space="preserve">23-70292</x:t>
        </x:is>
      </x:c>
      <x:c r="L44" t="inlineStr">
        <x:is>
          <x:t xml:space="preserve">NOT_LINKED</x:t>
        </x:is>
      </x:c>
      <x:c r="M44" t="inlineStr">
        <x:is>
          <x:t xml:space="preserve">LINKED</x:t>
        </x:is>
      </x:c>
      <x:c r="N44" t="inlineStr">
        <x:is>
          <x:t xml:space="preserve">VENDEE EAU</x:t>
        </x:is>
      </x:c>
      <x:c r="O44" t="inlineStr">
        <x:is>
          <x:t xml:space="preserve">NAME_FALLBACK</x:t>
        </x:is>
      </x:c>
      <x:c r="P44" t="inlineStr">
        <x:is>
          <x:t xml:space="preserve">16</x:t>
        </x:is>
      </x:c>
      <x:c r="Q44" t="inlineStr">
        <x:is>
          <x:t xml:space="preserve">2023-05-23</x:t>
        </x:is>
      </x:c>
      <x:c r="R44" t="inlineStr">
        <x:is>
          <x:t xml:space="preserve">2023-05-24</x:t>
        </x:is>
      </x:c>
      <x:c r="S44" t="inlineStr">
        <x:is>
          <x:t xml:space="preserve">0.0328515111695138</x:t>
        </x:is>
      </x:c>
      <x:c r="T44" t="inlineStr">
        <x:is>
          <x:t xml:space="preserve"/>
        </x:is>
      </x:c>
      <x:c r="U44" t="inlineStr">
        <x:is>
          <x:t xml:space="preserve">DIGITAL_ICT</x:t>
        </x:is>
      </x:c>
      <x:c r="V44" t="inlineStr">
        <x:is>
          <x:t xml:space="preserve">True</x:t>
        </x:is>
      </x:c>
      <x:c r="W44" t="inlineStr">
        <x:is>
          <x:t xml:space="preserve">0.8859135620496276</x:t>
        </x:is>
      </x:c>
      <x:c r="X44" t="inlineStr">
        <x:is>
          <x:t xml:space="preserve">0.1</x:t>
        </x:is>
      </x:c>
      <x:c r="Y44" t="inlineStr">
        <x:is>
          <x:t xml:space="preserve">0.0</x:t>
        </x:is>
      </x:c>
      <x:c r="Z44" t="inlineStr">
        <x:is>
          <x:t xml:space="preserve">0.6</x:t>
        </x:is>
      </x:c>
      <x:c r="AA44" t="inlineStr">
        <x:is>
          <x:t xml:space="preserve">0.4000697467173696</x:t>
        </x:is>
      </x:c>
      <x:c r="AB44" t="inlineStr">
        <x:is>
          <x:t xml:space="preserve"/>
        </x:is>
      </x:c>
      <x:c r="AC44" t="inlineStr">
        <x:is>
          <x:t xml:space="preserve">0.4000697467173696</x:t>
        </x:is>
      </x:c>
      <x:c r="AD44" t="inlineStr">
        <x:is>
          <x:t xml:space="preserve">1</x:t>
        </x:is>
      </x:c>
      <x:c r="AE44" s="2" t="inlineStr">
        <x:is>
          <x:t xml:space="preserve">Matériels informatiques (2 lots).</x:t>
        </x:is>
      </x:c>
      <x:c r="AF44" s="2" t="inlineStr">
        <x:is>
          <x:t xml:space="preserve">Fourniture de matériels informatiques (2 lots).</x:t>
        </x:is>
      </x:c>
      <x:c r="AG44" t="inlineStr">
        <x:is>
          <x:t xml:space="preserve">COMPOSITE_ONLY</x:t>
        </x:is>
      </x:c>
      <x:c r="AH44" t="inlineStr">
        <x:is>
          <x:t xml:space="preserve">primary_gbm@0.230964__baseline_composite@0.343167</x:t>
        </x:is>
      </x:c>
      <x:c r="AI44" t="inlineStr">
        <x:is>
          <x:t xml:space="preserve">real_boamp_layer1</x:t>
        </x:is>
      </x:c>
    </x:row>
    <x:row r="45" ht="48" customHeight="1">
      <x:c r="A45" s="4" t="inlineStr">
        <x:is>
          <x:t xml:space="preserve">AUDIT-044</x:t>
        </x:is>
      </x:c>
      <x:c r="B45" s="4" t="inlineStr">
        <x:is>
          <x:t xml:space="preserve">composite_only</x:t>
        </x:is>
      </x:c>
      <x:c r="C45" s="4" t="str">
        <x:v>WRONG_LINK</x:v>
      </x:c>
      <x:c r="D45" s="4" t="str">
        <x:v>MEDIUM</x:v>
      </x:c>
      <x:c r="E45" s="4" t="str">
        <x:v>TRUE</x:v>
      </x:c>
      <x:c r="F45" s="5" t="n">
        <x:v>46240</x:v>
      </x:c>
      <x:c r="G45" s="6" t="str">
        <x:v>The source is 'maintenance, hébergement et évolution de la solution logicielle local trust mpe de dématérialisation des marchés publics à Nantes' while the candidate is 'mise en oeuvre d'une solution logicielle de gestion du processus achat incluant la dimension marchés publics, maintenance et prestatio…'. The concrete functions/equipment are materially different; same buyer and broad digital/CPV similarity do not establish a renewal or relaunch.</x:v>
      </x:c>
      <x:c r="H45" t="inlineStr">
        <x:is>
          <x:t xml:space="preserve">15-162447</x:t>
        </x:is>
      </x:c>
      <x:c r="I45" t="inlineStr">
        <x:is>
          <x:t xml:space="preserve">16-49246</x:t>
        </x:is>
      </x:c>
      <x:c r="J45" t="inlineStr">
        <x:is>
          <x:t xml:space="preserve"/>
        </x:is>
      </x:c>
      <x:c r="K45" t="inlineStr">
        <x:is>
          <x:t xml:space="preserve">16-49246</x:t>
        </x:is>
      </x:c>
      <x:c r="L45" t="inlineStr">
        <x:is>
          <x:t xml:space="preserve">NOT_LINKED</x:t>
        </x:is>
      </x:c>
      <x:c r="M45" t="inlineStr">
        <x:is>
          <x:t xml:space="preserve">LINKED</x:t>
        </x:is>
      </x:c>
      <x:c r="N45" t="inlineStr">
        <x:is>
          <x:t xml:space="preserve">Nantes Métropole</x:t>
        </x:is>
      </x:c>
      <x:c r="O45" t="inlineStr">
        <x:is>
          <x:t xml:space="preserve">NAME_FALLBACK</x:t>
        </x:is>
      </x:c>
      <x:c r="P45" t="inlineStr">
        <x:is>
          <x:t xml:space="preserve">182</x:t>
        </x:is>
      </x:c>
      <x:c r="Q45" t="inlineStr">
        <x:is>
          <x:t xml:space="preserve">2015-10-23</x:t>
        </x:is>
      </x:c>
      <x:c r="R45" t="inlineStr">
        <x:is>
          <x:t xml:space="preserve">2016-04-12</x:t>
        </x:is>
      </x:c>
      <x:c r="S45" t="inlineStr">
        <x:is>
          <x:t xml:space="preserve">5.650459921156373</x:t>
        </x:is>
      </x:c>
      <x:c r="T45" t="inlineStr">
        <x:is>
          <x:t xml:space="preserve"/>
        </x:is>
      </x:c>
      <x:c r="U45" t="inlineStr">
        <x:is>
          <x:t xml:space="preserve">DIGITAL_ICT</x:t>
        </x:is>
      </x:c>
      <x:c r="V45" t="inlineStr">
        <x:is>
          <x:t xml:space="preserve">True</x:t>
        </x:is>
      </x:c>
      <x:c r="W45" t="inlineStr">
        <x:is>
          <x:t xml:space="preserve">0.2335388079574922</x:t>
        </x:is>
      </x:c>
      <x:c r="X45" t="inlineStr">
        <x:is>
          <x:t xml:space="preserve">0.1</x:t>
        </x:is>
      </x:c>
      <x:c r="Y45" t="inlineStr">
        <x:is>
          <x:t xml:space="preserve">0.939772229522558</x:t>
        </x:is>
      </x:c>
      <x:c r="Z45" t="inlineStr">
        <x:is>
          <x:t xml:space="preserve">0.6</x:t>
        </x:is>
      </x:c>
      <x:c r="AA45" t="inlineStr">
        <x:is>
          <x:t xml:space="preserve">0.4066816401657618</x:t>
        </x:is>
      </x:c>
      <x:c r="AB45" t="inlineStr">
        <x:is>
          <x:t xml:space="preserve"/>
        </x:is>
      </x:c>
      <x:c r="AC45" t="inlineStr">
        <x:is>
          <x:t xml:space="preserve">0.0256173784610879</x:t>
        </x:is>
      </x:c>
      <x:c r="AD45" t="inlineStr">
        <x:is>
          <x:t xml:space="preserve">22</x:t>
        </x:is>
      </x:c>
      <x:c r="AE45" s="2" t="inlineStr">
        <x:is>
          <x:t xml:space="preserve">maintenance, hébergement et évolution de la solution logicielle local trust mpe de dématérialisation des marchés publics à Nantes</x:t>
        </x:is>
      </x:c>
      <x:c r="AF45" s="2" t="inlineStr">
        <x:is>
          <x:t xml:space="preserve">mise en oeuvre d'une solution logicielle de gestion du processus achat incluant la dimension marchés publics, maintenance et prestations associées.</x:t>
        </x:is>
      </x:c>
      <x:c r="AG45" t="inlineStr">
        <x:is>
          <x:t xml:space="preserve">COMPOSITE_ONLY</x:t>
        </x:is>
      </x:c>
      <x:c r="AH45" t="inlineStr">
        <x:is>
          <x:t xml:space="preserve">primary_gbm@0.230964__baseline_composite@0.343167</x:t>
        </x:is>
      </x:c>
      <x:c r="AI45" t="inlineStr">
        <x:is>
          <x:t xml:space="preserve">real_boamp_layer1</x:t>
        </x:is>
      </x:c>
    </x:row>
    <x:row r="46" ht="48" customHeight="1">
      <x:c r="A46" s="4" t="inlineStr">
        <x:is>
          <x:t xml:space="preserve">AUDIT-045</x:t>
        </x:is>
      </x:c>
      <x:c r="B46" s="4" t="inlineStr">
        <x:is>
          <x:t xml:space="preserve">composite_only</x:t>
        </x:is>
      </x:c>
      <x:c r="C46" s="4" t="str">
        <x:v>WRONG_LINK</x:v>
      </x:c>
      <x:c r="D46" s="4" t="str">
        <x:v>HIGH</x:v>
      </x:c>
      <x:c r="E46" s="4" t="str">
        <x:v>FALSE</x:v>
      </x:c>
      <x:c r="F46" s="5" t="n">
        <x:v>46240</x:v>
      </x:c>
      <x:c r="G46" s="6" t="str">
        <x:v>The source is 'acquisition et mise en oeuvre d'une solution logicielle de gestion de la relation aux usagers' while the candidate is 'acquisition, maintenance et hébergement d'un système de contrôle de température dans les unités de production de repas de nantes et de…'. The concrete functions/equipment are materially different; same buyer and broad digital/CPV similarity do not establish a renewal or relaunch.</x:v>
      </x:c>
      <x:c r="H46" t="inlineStr">
        <x:is>
          <x:t xml:space="preserve">20-132336</x:t>
        </x:is>
      </x:c>
      <x:c r="I46" t="inlineStr">
        <x:is>
          <x:t xml:space="preserve">21-78352</x:t>
        </x:is>
      </x:c>
      <x:c r="J46" t="inlineStr">
        <x:is>
          <x:t xml:space="preserve"/>
        </x:is>
      </x:c>
      <x:c r="K46" t="inlineStr">
        <x:is>
          <x:t xml:space="preserve">21-78352</x:t>
        </x:is>
      </x:c>
      <x:c r="L46" t="inlineStr">
        <x:is>
          <x:t xml:space="preserve">NOT_LINKED</x:t>
        </x:is>
      </x:c>
      <x:c r="M46" t="inlineStr">
        <x:is>
          <x:t xml:space="preserve">LINKED</x:t>
        </x:is>
      </x:c>
      <x:c r="N46" t="inlineStr">
        <x:is>
          <x:t xml:space="preserve">Nantes Métropole</x:t>
        </x:is>
      </x:c>
      <x:c r="O46" t="inlineStr">
        <x:is>
          <x:t xml:space="preserve">NAME_FALLBACK</x:t>
        </x:is>
      </x:c>
      <x:c r="P46" t="inlineStr">
        <x:is>
          <x:t xml:space="preserve">182</x:t>
        </x:is>
      </x:c>
      <x:c r="Q46" t="inlineStr">
        <x:is>
          <x:t xml:space="preserve">2020-11-08</x:t>
        </x:is>
      </x:c>
      <x:c r="R46" t="inlineStr">
        <x:is>
          <x:t xml:space="preserve">2021-06-09</x:t>
        </x:is>
      </x:c>
      <x:c r="S46" t="inlineStr">
        <x:is>
          <x:t xml:space="preserve">6.997371879106439</x:t>
        </x:is>
      </x:c>
      <x:c r="T46" t="inlineStr">
        <x:is>
          <x:t xml:space="preserve">48000000.0</x:t>
        </x:is>
      </x:c>
      <x:c r="U46" t="inlineStr">
        <x:is>
          <x:t xml:space="preserve">DIGITAL_ICT</x:t>
        </x:is>
      </x:c>
      <x:c r="V46" t="inlineStr">
        <x:is>
          <x:t xml:space="preserve">True</x:t>
        </x:is>
      </x:c>
      <x:c r="W46" t="inlineStr">
        <x:is>
          <x:t xml:space="preserve">0.1037198982047565</x:t>
        </x:is>
      </x:c>
      <x:c r="X46" t="inlineStr">
        <x:is>
          <x:t xml:space="preserve">1.0</x:t>
        </x:is>
      </x:c>
      <x:c r="Y46" t="inlineStr">
        <x:is>
          <x:t xml:space="preserve">0.8247919404292597</x:t>
        </x:is>
      </x:c>
      <x:c r="Z46" t="inlineStr">
        <x:is>
          <x:t xml:space="preserve">0.6</x:t>
        </x:is>
      </x:c>
      <x:c r="AA46" t="inlineStr">
        <x:is>
          <x:t xml:space="preserve">0.6024999494789798</x:t>
        </x:is>
      </x:c>
      <x:c r="AB46" t="inlineStr">
        <x:is>
          <x:t xml:space="preserve"/>
        </x:is>
      </x:c>
      <x:c r="AC46" t="inlineStr">
        <x:is>
          <x:t xml:space="preserve">0.0754239229854623</x:t>
        </x:is>
      </x:c>
      <x:c r="AD46" t="inlineStr">
        <x:is>
          <x:t xml:space="preserve">18</x:t>
        </x:is>
      </x:c>
      <x:c r="AE46" s="2" t="inlineStr">
        <x:is>
          <x:t xml:space="preserve">acquisition et mise en oeuvre d'une solution logicielle de gestion de la relation aux usagers</x:t>
        </x:is>
      </x:c>
      <x:c r="AF46" s="2" t="inlineStr">
        <x:is>
          <x:t xml:space="preserve">acquisition, maintenance et hébergement d'un système de contrôle de température dans les unités de production de repas de nantes et de son ccas : solution logicielle,matériels et prestations associés</x:t>
        </x:is>
      </x:c>
      <x:c r="AG46" t="inlineStr">
        <x:is>
          <x:t xml:space="preserve">COMPOSITE_ONLY</x:t>
        </x:is>
      </x:c>
      <x:c r="AH46" t="inlineStr">
        <x:is>
          <x:t xml:space="preserve">primary_gbm@0.230964__baseline_composite@0.343167</x:t>
        </x:is>
      </x:c>
      <x:c r="AI46" t="inlineStr">
        <x:is>
          <x:t xml:space="preserve">real_boamp_layer1</x:t>
        </x:is>
      </x:c>
    </x:row>
    <x:row r="47" ht="48" customHeight="1">
      <x:c r="A47" s="4" t="inlineStr">
        <x:is>
          <x:t xml:space="preserve">AUDIT-046</x:t>
        </x:is>
      </x:c>
      <x:c r="B47" s="4" t="inlineStr">
        <x:is>
          <x:t xml:space="preserve">composite_only</x:t>
        </x:is>
      </x:c>
      <x:c r="C47" s="4" t="str">
        <x:v>WRONG_LINK</x:v>
      </x:c>
      <x:c r="D47" s="4" t="str">
        <x:v>HIGH</x:v>
      </x:c>
      <x:c r="E47" s="4" t="str">
        <x:v>FALSE</x:v>
      </x:c>
      <x:c r="F47" s="5" t="n">
        <x:v>46240</x:v>
      </x:c>
      <x:c r="G47" s="6" t="str">
        <x:v>The source is 'conception, réalisation et installation de productions multimédias au musée des enfants à La Roche Sur Yon' while the candidate is 'Acquisition d'un logiciel de gestion des entretiens d'évaluation, prestations de mise en oeuvre associées et maintenance'. The concrete functions/equipment are materially different; same buyer and broad digital/CPV similarity do not establish a renewal or relaunch.</x:v>
      </x:c>
      <x:c r="H47" t="inlineStr">
        <x:is>
          <x:t xml:space="preserve">15-185112</x:t>
        </x:is>
      </x:c>
      <x:c r="I47" t="inlineStr">
        <x:is>
          <x:t xml:space="preserve">16-172610</x:t>
        </x:is>
      </x:c>
      <x:c r="J47" t="inlineStr">
        <x:is>
          <x:t xml:space="preserve"/>
        </x:is>
      </x:c>
      <x:c r="K47" t="inlineStr">
        <x:is>
          <x:t xml:space="preserve">16-172610</x:t>
        </x:is>
      </x:c>
      <x:c r="L47" t="inlineStr">
        <x:is>
          <x:t xml:space="preserve">NOT_LINKED</x:t>
        </x:is>
      </x:c>
      <x:c r="M47" t="inlineStr">
        <x:is>
          <x:t xml:space="preserve">LINKED</x:t>
        </x:is>
      </x:c>
      <x:c r="N47" t="inlineStr">
        <x:is>
          <x:t xml:space="preserve">Conseil général de la Vendée</x:t>
        </x:is>
      </x:c>
      <x:c r="O47" t="inlineStr">
        <x:is>
          <x:t xml:space="preserve">NAME_FALLBACK</x:t>
        </x:is>
      </x:c>
      <x:c r="P47" t="inlineStr">
        <x:is>
          <x:t xml:space="preserve">8</x:t>
        </x:is>
      </x:c>
      <x:c r="Q47" t="inlineStr">
        <x:is>
          <x:t xml:space="preserve">2015-12-10</x:t>
        </x:is>
      </x:c>
      <x:c r="R47" t="inlineStr">
        <x:is>
          <x:t xml:space="preserve">2016-11-30</x:t>
        </x:is>
      </x:c>
      <x:c r="S47" t="inlineStr">
        <x:is>
          <x:t xml:space="preserve">11.695137976346912</x:t>
        </x:is>
      </x:c>
      <x:c r="T47" t="inlineStr">
        <x:is>
          <x:t xml:space="preserve">72230000.0</x:t>
        </x:is>
      </x:c>
      <x:c r="U47" t="inlineStr">
        <x:is>
          <x:t xml:space="preserve">DIGITAL_ICT</x:t>
        </x:is>
      </x:c>
      <x:c r="V47" t="inlineStr">
        <x:is>
          <x:t xml:space="preserve">True</x:t>
        </x:is>
      </x:c>
      <x:c r="W47" t="inlineStr">
        <x:is>
          <x:t xml:space="preserve">0.0122577869191909</x:t>
        </x:is>
      </x:c>
      <x:c r="X47" t="inlineStr">
        <x:is>
          <x:t xml:space="preserve">0.4</x:t>
        </x:is>
      </x:c>
      <x:c r="Y47" t="inlineStr">
        <x:is>
          <x:t xml:space="preserve">0.7645641699518178</x:t>
        </x:is>
      </x:c>
      <x:c r="Z47" t="inlineStr">
        <x:is>
          <x:t xml:space="preserve">0.6</x:t>
        </x:is>
      </x:c>
      <x:c r="AA47" t="inlineStr">
        <x:is>
          <x:t xml:space="preserve">0.3754312679096712</x:t>
        </x:is>
      </x:c>
      <x:c r="AB47" t="inlineStr">
        <x:is>
          <x:t xml:space="preserve"/>
        </x:is>
      </x:c>
      <x:c r="AC47" t="inlineStr">
        <x:is>
          <x:t xml:space="preserve">0.3754312679096712</x:t>
        </x:is>
      </x:c>
      <x:c r="AD47" t="inlineStr">
        <x:is>
          <x:t xml:space="preserve">1</x:t>
        </x:is>
      </x:c>
      <x:c r="AE47" s="2" t="inlineStr">
        <x:is>
          <x:t xml:space="preserve">conception, réalisation et installation de productions multimédias au musée des enfants à La Roche Sur Yon</x:t>
        </x:is>
      </x:c>
      <x:c r="AF47" s="2" t="inlineStr">
        <x:is>
          <x:t xml:space="preserve">Acquisition d'un logiciel de gestion des entretiens d'évaluation, prestations de mise en oeuvre associées et maintenance</x:t>
        </x:is>
      </x:c>
      <x:c r="AG47" t="inlineStr">
        <x:is>
          <x:t xml:space="preserve">COMPOSITE_ONLY</x:t>
        </x:is>
      </x:c>
      <x:c r="AH47" t="inlineStr">
        <x:is>
          <x:t xml:space="preserve">primary_gbm@0.230964__baseline_composite@0.343167</x:t>
        </x:is>
      </x:c>
      <x:c r="AI47" t="inlineStr">
        <x:is>
          <x:t xml:space="preserve">real_boamp_layer1</x:t>
        </x:is>
      </x:c>
    </x:row>
    <x:row r="48" ht="48" customHeight="1">
      <x:c r="A48" s="4" t="inlineStr">
        <x:is>
          <x:t xml:space="preserve">AUDIT-047</x:t>
        </x:is>
      </x:c>
      <x:c r="B48" s="4" t="inlineStr">
        <x:is>
          <x:t xml:space="preserve">composite_only</x:t>
        </x:is>
      </x:c>
      <x:c r="C48" s="4" t="str">
        <x:v>WRONG_LINK</x:v>
      </x:c>
      <x:c r="D48" s="4" t="str">
        <x:v>HIGH</x:v>
      </x:c>
      <x:c r="E48" s="4" t="str">
        <x:v>FALSE</x:v>
      </x:c>
      <x:c r="F48" s="5" t="n">
        <x:v>46240</x:v>
      </x:c>
      <x:c r="G48" s="6" t="str">
        <x:v>The source is 'Acquisition et maintenance d'un système de guidage et de géolocalisation dans le cadre de la collecte des déchets pour 4 ans' while the candidate is 'Acquisition, installation, calage et maintenance de matériel de projection - Mapping et supports techniques dans le cadre de la Nuit d…'. The concrete functions/equipment are materially different; same buyer and broad digital/CPV similarity do not establish a renewal or relaunch.</x:v>
      </x:c>
      <x:c r="H48" t="inlineStr">
        <x:is>
          <x:t xml:space="preserve">22-116324</x:t>
        </x:is>
      </x:c>
      <x:c r="I48" t="inlineStr">
        <x:is>
          <x:t xml:space="preserve">23-117420</x:t>
        </x:is>
      </x:c>
      <x:c r="J48" t="inlineStr">
        <x:is>
          <x:t xml:space="preserve"/>
        </x:is>
      </x:c>
      <x:c r="K48" t="inlineStr">
        <x:is>
          <x:t xml:space="preserve">23-117420</x:t>
        </x:is>
      </x:c>
      <x:c r="L48" t="inlineStr">
        <x:is>
          <x:t xml:space="preserve">NOT_LINKED</x:t>
        </x:is>
      </x:c>
      <x:c r="M48" t="inlineStr">
        <x:is>
          <x:t xml:space="preserve">LINKED</x:t>
        </x:is>
      </x:c>
      <x:c r="N48" t="inlineStr">
        <x:is>
          <x:t xml:space="preserve">Le Mans Métropole - Communauté Urbaine</x:t>
        </x:is>
      </x:c>
      <x:c r="O48" t="inlineStr">
        <x:is>
          <x:t xml:space="preserve">RAW_SIRET</x:t>
        </x:is>
      </x:c>
      <x:c r="P48" t="inlineStr">
        <x:is>
          <x:t xml:space="preserve">30</x:t>
        </x:is>
      </x:c>
      <x:c r="Q48" t="inlineStr">
        <x:is>
          <x:t xml:space="preserve">2022-08-31</x:t>
        </x:is>
      </x:c>
      <x:c r="R48" t="inlineStr">
        <x:is>
          <x:t xml:space="preserve">2023-08-24</x:t>
        </x:is>
      </x:c>
      <x:c r="S48" t="inlineStr">
        <x:is>
          <x:t xml:space="preserve">11.76084099868594</x:t>
        </x:is>
      </x:c>
      <x:c r="T48" t="inlineStr">
        <x:is>
          <x:t xml:space="preserve">48600000.0</x:t>
        </x:is>
      </x:c>
      <x:c r="U48" t="inlineStr">
        <x:is>
          <x:t xml:space="preserve">DIGITAL_ICT</x:t>
        </x:is>
      </x:c>
      <x:c r="V48" t="inlineStr">
        <x:is>
          <x:t xml:space="preserve">True</x:t>
        </x:is>
      </x:c>
      <x:c r="W48" t="inlineStr">
        <x:is>
          <x:t xml:space="preserve">0.2293048891509989</x:t>
        </x:is>
      </x:c>
      <x:c r="X48" t="inlineStr">
        <x:is>
          <x:t xml:space="preserve">0.2</x:t>
        </x:is>
      </x:c>
      <x:c r="Y48" t="inlineStr">
        <x:is>
          <x:t xml:space="preserve">0.8904949627682873</x:t>
        </x:is>
      </x:c>
      <x:c r="Z48" t="inlineStr">
        <x:is>
          <x:t xml:space="preserve">1.0</x:t>
        </x:is>
      </x:c>
      <x:c r="AA48" t="inlineStr">
        <x:is>
          <x:t xml:space="preserve">0.4628804518949214</x:t>
        </x:is>
      </x:c>
      <x:c r="AB48" t="inlineStr">
        <x:is>
          <x:t xml:space="preserve"/>
        </x:is>
      </x:c>
      <x:c r="AC48" t="inlineStr">
        <x:is>
          <x:t xml:space="preserve">0.1268746435883829</x:t>
        </x:is>
      </x:c>
      <x:c r="AD48" t="inlineStr">
        <x:is>
          <x:t xml:space="preserve">5</x:t>
        </x:is>
      </x:c>
      <x:c r="AE48" s="2" t="inlineStr">
        <x:is>
          <x:t xml:space="preserve">Acquisition et maintenance d'un système de guidage et de géolocalisation dans le cadre de la collecte des déchets pour 4 ans</x:t>
        </x:is>
      </x:c>
      <x:c r="AF48" s="2" t="inlineStr">
        <x:is>
          <x:t xml:space="preserve">Acquisition, installation, calage et maintenance de matériel de projection - Mapping et supports techniques dans le cadre de la Nuit des Chimères pour une durée de 4 ans</x:t>
        </x:is>
      </x:c>
      <x:c r="AG48" t="inlineStr">
        <x:is>
          <x:t xml:space="preserve">COMPOSITE_ONLY</x:t>
        </x:is>
      </x:c>
      <x:c r="AH48" t="inlineStr">
        <x:is>
          <x:t xml:space="preserve">primary_gbm@0.230964__baseline_composite@0.343167</x:t>
        </x:is>
      </x:c>
      <x:c r="AI48" t="inlineStr">
        <x:is>
          <x:t xml:space="preserve">real_boamp_layer1</x:t>
        </x:is>
      </x:c>
    </x:row>
    <x:row r="49" ht="48" customHeight="1">
      <x:c r="A49" s="4" t="inlineStr">
        <x:is>
          <x:t xml:space="preserve">AUDIT-048</x:t>
        </x:is>
      </x:c>
      <x:c r="B49" s="4" t="inlineStr">
        <x:is>
          <x:t xml:space="preserve">composite_only</x:t>
        </x:is>
      </x:c>
      <x:c r="C49" s="4" t="str">
        <x:v>WRONG_LINK</x:v>
      </x:c>
      <x:c r="D49" s="4" t="str">
        <x:v>HIGH</x:v>
      </x:c>
      <x:c r="E49" s="4" t="str">
        <x:v>FALSE</x:v>
      </x:c>
      <x:c r="F49" s="5" t="n">
        <x:v>46240</x:v>
      </x:c>
      <x:c r="G49" s="6" t="str">
        <x:v>The source is 'accord-cadre - evaluation préalable, fourniture, pose, prestations de services associées et maintenance de l'ensemble des matériels né…' while the candidate is 'conception d'une maquette numérique avec son support physique (y compris mobilier) et les interfaces numériques (écrans) nécessaires à…'. The concrete functions/equipment are materially different; same buyer and broad digital/CPV similarity do not establish a renewal or relaunch.</x:v>
      </x:c>
      <x:c r="H49" t="inlineStr">
        <x:is>
          <x:t xml:space="preserve">18-103911</x:t>
        </x:is>
      </x:c>
      <x:c r="I49" t="inlineStr">
        <x:is>
          <x:t xml:space="preserve">18-164871</x:t>
        </x:is>
      </x:c>
      <x:c r="J49" t="inlineStr">
        <x:is>
          <x:t xml:space="preserve"/>
        </x:is>
      </x:c>
      <x:c r="K49" t="inlineStr">
        <x:is>
          <x:t xml:space="preserve">18-164871</x:t>
        </x:is>
      </x:c>
      <x:c r="L49" t="inlineStr">
        <x:is>
          <x:t xml:space="preserve">NOT_LINKED</x:t>
        </x:is>
      </x:c>
      <x:c r="M49" t="inlineStr">
        <x:is>
          <x:t xml:space="preserve">LINKED</x:t>
        </x:is>
      </x:c>
      <x:c r="N49" t="inlineStr">
        <x:is>
          <x:t xml:space="preserve">Nantes Métropole</x:t>
        </x:is>
      </x:c>
      <x:c r="O49" t="inlineStr">
        <x:is>
          <x:t xml:space="preserve">NAME_FALLBACK</x:t>
        </x:is>
      </x:c>
      <x:c r="P49" t="inlineStr">
        <x:is>
          <x:t xml:space="preserve">182</x:t>
        </x:is>
      </x:c>
      <x:c r="Q49" t="inlineStr">
        <x:is>
          <x:t xml:space="preserve">2018-07-26</x:t>
        </x:is>
      </x:c>
      <x:c r="R49" t="inlineStr">
        <x:is>
          <x:t xml:space="preserve">2018-11-26</x:t>
        </x:is>
      </x:c>
      <x:c r="S49" t="inlineStr">
        <x:is>
          <x:t xml:space="preserve">4.040735873850197</x:t>
        </x:is>
      </x:c>
      <x:c r="T49" t="inlineStr">
        <x:is>
          <x:t xml:space="preserve">32323500.0</x:t>
        </x:is>
      </x:c>
      <x:c r="U49" t="inlineStr">
        <x:is>
          <x:t xml:space="preserve">DIGITAL_ICT</x:t>
        </x:is>
      </x:c>
      <x:c r="V49" t="inlineStr">
        <x:is>
          <x:t xml:space="preserve">True</x:t>
        </x:is>
      </x:c>
      <x:c r="W49" t="inlineStr">
        <x:is>
          <x:t xml:space="preserve">0.0913806658292633</x:t>
        </x:is>
      </x:c>
      <x:c r="X49" t="inlineStr">
        <x:is>
          <x:t xml:space="preserve">0.1</x:t>
        </x:is>
      </x:c>
      <x:c r="Y49" t="inlineStr">
        <x:is>
          <x:t xml:space="preserve">1.0</x:t>
        </x:is>
      </x:c>
      <x:c r="Z49" t="inlineStr">
        <x:is>
          <x:t xml:space="preserve">0.6</x:t>
        </x:is>
      </x:c>
      <x:c r="AA49" t="inlineStr">
        <x:is>
          <x:t xml:space="preserve">0.3719832330402421</x:t>
        </x:is>
      </x:c>
      <x:c r="AB49" t="inlineStr">
        <x:is>
          <x:t xml:space="preserve"/>
        </x:is>
      </x:c>
      <x:c r="AC49" t="inlineStr">
        <x:is>
          <x:t xml:space="preserve">0.0659734771971366</x:t>
        </x:is>
      </x:c>
      <x:c r="AD49" t="inlineStr">
        <x:is>
          <x:t xml:space="preserve">14</x:t>
        </x:is>
      </x:c>
      <x:c r="AE49" s="2" t="inlineStr">
        <x:is>
          <x:t xml:space="preserve">accord-cadre - evaluation préalable, fourniture, pose, prestations de services associées et maintenance de l'ensemble des matériels nécessaires à la vidéoprotection des bâtiments publics métropolitain</x:t>
        </x:is>
      </x:c>
      <x:c r="AF49" s="2" t="inlineStr">
        <x:is>
          <x:t xml:space="preserve">conception d'une maquette numérique avec son support physique (y compris mobilier) et les interfaces numériques (écrans) nécessaires à la visualisation in situ de la métropole nantaise</x:t>
        </x:is>
      </x:c>
      <x:c r="AG49" t="inlineStr">
        <x:is>
          <x:t xml:space="preserve">COMPOSITE_ONLY</x:t>
        </x:is>
      </x:c>
      <x:c r="AH49" t="inlineStr">
        <x:is>
          <x:t xml:space="preserve">primary_gbm@0.230964__baseline_composite@0.343167</x:t>
        </x:is>
      </x:c>
      <x:c r="AI49" t="inlineStr">
        <x:is>
          <x:t xml:space="preserve">real_boamp_layer1</x:t>
        </x:is>
      </x:c>
    </x:row>
    <x:row r="50" ht="48" customHeight="1">
      <x:c r="A50" s="4" t="inlineStr">
        <x:is>
          <x:t xml:space="preserve">AUDIT-049</x:t>
        </x:is>
      </x:c>
      <x:c r="B50" s="4" t="inlineStr">
        <x:is>
          <x:t xml:space="preserve">composite_only</x:t>
        </x:is>
      </x:c>
      <x:c r="C50" s="4" t="str">
        <x:v>WRONG_LINK</x:v>
      </x:c>
      <x:c r="D50" s="4" t="str">
        <x:v>MEDIUM</x:v>
      </x:c>
      <x:c r="E50" s="4" t="str">
        <x:v>TRUE</x:v>
      </x:c>
      <x:c r="F50" s="5" t="n">
        <x:v>46240</x:v>
      </x:c>
      <x:c r="G50" s="6" t="str">
        <x:v>The source is 'Refonte de l'infrastructure du système d'information de la ville de Couëron' while the candidate is 'Acquisition de licences informatiques 'Microsoft' 2020-2022 pour la ville de Couëron'. The concrete functions/equipment are materially different; same buyer and broad digital/CPV similarity do not establish a renewal or relaunch.</x:v>
      </x:c>
      <x:c r="H50" t="inlineStr">
        <x:is>
          <x:t xml:space="preserve">19-101998</x:t>
        </x:is>
      </x:c>
      <x:c r="I50" t="inlineStr">
        <x:is>
          <x:t xml:space="preserve">20-52194</x:t>
        </x:is>
      </x:c>
      <x:c r="J50" t="inlineStr">
        <x:is>
          <x:t xml:space="preserve"/>
        </x:is>
      </x:c>
      <x:c r="K50" t="inlineStr">
        <x:is>
          <x:t xml:space="preserve">20-52194</x:t>
        </x:is>
      </x:c>
      <x:c r="L50" t="inlineStr">
        <x:is>
          <x:t xml:space="preserve">NOT_LINKED</x:t>
        </x:is>
      </x:c>
      <x:c r="M50" t="inlineStr">
        <x:is>
          <x:t xml:space="preserve">LINKED</x:t>
        </x:is>
      </x:c>
      <x:c r="N50" t="inlineStr">
        <x:is>
          <x:t xml:space="preserve">Mairie de Coueron</x:t>
        </x:is>
      </x:c>
      <x:c r="O50" t="inlineStr">
        <x:is>
          <x:t xml:space="preserve">NAME_FALLBACK</x:t>
        </x:is>
      </x:c>
      <x:c r="P50" t="inlineStr">
        <x:is>
          <x:t xml:space="preserve">10</x:t>
        </x:is>
      </x:c>
      <x:c r="Q50" t="inlineStr">
        <x:is>
          <x:t xml:space="preserve">2019-07-04</x:t>
        </x:is>
      </x:c>
      <x:c r="R50" t="inlineStr">
        <x:is>
          <x:t xml:space="preserve">2020-04-14</x:t>
        </x:is>
      </x:c>
      <x:c r="S50" t="inlineStr">
        <x:is>
          <x:t xml:space="preserve">9.362680683311432</x:t>
        </x:is>
      </x:c>
      <x:c r="T50" t="inlineStr">
        <x:is>
          <x:t xml:space="preserve">30200000.0</x:t>
        </x:is>
      </x:c>
      <x:c r="U50" t="inlineStr">
        <x:is>
          <x:t xml:space="preserve">DIGITAL_ICT</x:t>
        </x:is>
      </x:c>
      <x:c r="V50" t="inlineStr">
        <x:is>
          <x:t xml:space="preserve">True</x:t>
        </x:is>
      </x:c>
      <x:c r="W50" t="inlineStr">
        <x:is>
          <x:t xml:space="preserve">0.3146359877500213</x:t>
        </x:is>
      </x:c>
      <x:c r="X50" t="inlineStr">
        <x:is>
          <x:t xml:space="preserve">0.1</x:t>
        </x:is>
      </x:c>
      <x:c r="Y50" t="inlineStr">
        <x:is>
          <x:t xml:space="preserve">0.7809899255365746</x:t>
        </x:is>
      </x:c>
      <x:c r="Z50" t="inlineStr">
        <x:is>
          <x:t xml:space="preserve">0.6</x:t>
        </x:is>
      </x:c>
      <x:c r="AA50" t="inlineStr">
        <x:is>
          <x:t xml:space="preserve">0.3953700770966511</x:t>
        </x:is>
      </x:c>
      <x:c r="AB50" t="inlineStr">
        <x:is>
          <x:t xml:space="preserve"/>
        </x:is>
      </x:c>
      <x:c r="AC50" t="inlineStr">
        <x:is>
          <x:t xml:space="preserve">0.1991933728333312</x:t>
        </x:is>
      </x:c>
      <x:c r="AD50" t="inlineStr">
        <x:is>
          <x:t xml:space="preserve">2</x:t>
        </x:is>
      </x:c>
      <x:c r="AE50" s="2" t="inlineStr">
        <x:is>
          <x:t xml:space="preserve">Refonte de l'infrastructure du système d'information de la ville de Couëron</x:t>
        </x:is>
      </x:c>
      <x:c r="AF50" s="2" t="inlineStr">
        <x:is>
          <x:t xml:space="preserve">Acquisition de licences informatiques 'Microsoft' 2020-2022 pour la ville de Couëron</x:t>
        </x:is>
      </x:c>
      <x:c r="AG50" t="inlineStr">
        <x:is>
          <x:t xml:space="preserve">COMPOSITE_ONLY</x:t>
        </x:is>
      </x:c>
      <x:c r="AH50" t="inlineStr">
        <x:is>
          <x:t xml:space="preserve">primary_gbm@0.230964__baseline_composite@0.343167</x:t>
        </x:is>
      </x:c>
      <x:c r="AI50" t="inlineStr">
        <x:is>
          <x:t xml:space="preserve">real_boamp_layer1</x:t>
        </x:is>
      </x:c>
    </x:row>
    <x:row r="51" ht="48" customHeight="1">
      <x:c r="A51" s="4" t="inlineStr">
        <x:is>
          <x:t xml:space="preserve">AUDIT-050</x:t>
        </x:is>
      </x:c>
      <x:c r="B51" s="4" t="inlineStr">
        <x:is>
          <x:t xml:space="preserve">composite_only</x:t>
        </x:is>
      </x:c>
      <x:c r="C51" s="4" t="str">
        <x:v>WRONG_LINK</x:v>
      </x:c>
      <x:c r="D51" s="4" t="str">
        <x:v>HIGH</x:v>
      </x:c>
      <x:c r="E51" s="4" t="str">
        <x:v>FALSE</x:v>
      </x:c>
      <x:c r="F51" s="5" t="n">
        <x:v>46240</x:v>
      </x:c>
      <x:c r="G51" s="6" t="str">
        <x:v>The source is 'Assistance à l'administration de bases de données' while the candidate is 'Fourniture, installation et maintenance de webcams sur des sites vendéens'. The concrete functions/equipment are materially different; same buyer and broad digital/CPV similarity do not establish a renewal or relaunch.</x:v>
      </x:c>
      <x:c r="H51" t="inlineStr">
        <x:is>
          <x:t xml:space="preserve">16-148980</x:t>
        </x:is>
      </x:c>
      <x:c r="I51" t="inlineStr">
        <x:is>
          <x:t xml:space="preserve">17-135696</x:t>
        </x:is>
      </x:c>
      <x:c r="J51" t="inlineStr">
        <x:is>
          <x:t xml:space="preserve"/>
        </x:is>
      </x:c>
      <x:c r="K51" t="inlineStr">
        <x:is>
          <x:t xml:space="preserve">17-135696</x:t>
        </x:is>
      </x:c>
      <x:c r="L51" t="inlineStr">
        <x:is>
          <x:t xml:space="preserve">NOT_LINKED</x:t>
        </x:is>
      </x:c>
      <x:c r="M51" t="inlineStr">
        <x:is>
          <x:t xml:space="preserve">LINKED</x:t>
        </x:is>
      </x:c>
      <x:c r="N51" t="inlineStr">
        <x:is>
          <x:t xml:space="preserve">Département de la Vendée</x:t>
        </x:is>
      </x:c>
      <x:c r="O51" t="inlineStr">
        <x:is>
          <x:t xml:space="preserve">NAME_FALLBACK</x:t>
        </x:is>
      </x:c>
      <x:c r="P51" t="inlineStr">
        <x:is>
          <x:t xml:space="preserve">28</x:t>
        </x:is>
      </x:c>
      <x:c r="Q51" t="inlineStr">
        <x:is>
          <x:t xml:space="preserve">2016-10-13</x:t>
        </x:is>
      </x:c>
      <x:c r="R51" t="inlineStr">
        <x:is>
          <x:t xml:space="preserve">2017-09-26</x:t>
        </x:is>
      </x:c>
      <x:c r="S51" t="inlineStr">
        <x:is>
          <x:t xml:space="preserve">11.4323258869908</x:t>
        </x:is>
      </x:c>
      <x:c r="T51" t="inlineStr">
        <x:is>
          <x:t xml:space="preserve">72320000.0</x:t>
        </x:is>
      </x:c>
      <x:c r="U51" t="inlineStr">
        <x:is>
          <x:t xml:space="preserve">DIGITAL_ICT</x:t>
        </x:is>
      </x:c>
      <x:c r="V51" t="inlineStr">
        <x:is>
          <x:t xml:space="preserve">True</x:t>
        </x:is>
      </x:c>
      <x:c r="W51" t="inlineStr">
        <x:is>
          <x:t xml:space="preserve">0.0083102067964082</x:t>
        </x:is>
      </x:c>
      <x:c r="X51" t="inlineStr">
        <x:is>
          <x:t xml:space="preserve">0.4</x:t>
        </x:is>
      </x:c>
      <x:c r="Y51" t="inlineStr">
        <x:is>
          <x:t xml:space="preserve">0.8685939553219448</x:t>
        </x:is>
      </x:c>
      <x:c r="Z51" t="inlineStr">
        <x:is>
          <x:t xml:space="preserve">0.6</x:t>
        </x:is>
      </x:c>
      <x:c r="AA51" t="inlineStr">
        <x:is>
          <x:t xml:space="preserve">0.400057061209229</x:t>
        </x:is>
      </x:c>
      <x:c r="AB51" t="inlineStr">
        <x:is>
          <x:t xml:space="preserve"/>
        </x:is>
      </x:c>
      <x:c r="AC51" t="inlineStr">
        <x:is>
          <x:t xml:space="preserve">0.1065603105496765</x:t>
        </x:is>
      </x:c>
      <x:c r="AD51" t="inlineStr">
        <x:is>
          <x:t xml:space="preserve">5</x:t>
        </x:is>
      </x:c>
      <x:c r="AE51" s="2" t="inlineStr">
        <x:is>
          <x:t xml:space="preserve">Assistance à l'administration de bases de données</x:t>
        </x:is>
      </x:c>
      <x:c r="AF51" s="2" t="inlineStr">
        <x:is>
          <x:t xml:space="preserve">Fourniture, installation et maintenance de webcams sur des sites vendéens</x:t>
        </x:is>
      </x:c>
      <x:c r="AG51" t="inlineStr">
        <x:is>
          <x:t xml:space="preserve">COMPOSITE_ONLY</x:t>
        </x:is>
      </x:c>
      <x:c r="AH51" t="inlineStr">
        <x:is>
          <x:t xml:space="preserve">primary_gbm@0.230964__baseline_composite@0.343167</x:t>
        </x:is>
      </x:c>
      <x:c r="AI51" t="inlineStr">
        <x:is>
          <x:t xml:space="preserve">real_boamp_layer1</x:t>
        </x:is>
      </x:c>
    </x:row>
    <x:row r="52" ht="48" customHeight="1">
      <x:c r="A52" s="4" t="inlineStr">
        <x:is>
          <x:t xml:space="preserve">AUDIT-051</x:t>
        </x:is>
      </x:c>
      <x:c r="B52" s="4" t="inlineStr">
        <x:is>
          <x:t xml:space="preserve">gbm_borderline_score</x:t>
        </x:is>
      </x:c>
      <x:c r="C52" s="4" t="str">
        <x:v>WRONG_LINK</x:v>
      </x:c>
      <x:c r="D52" s="4" t="str">
        <x:v>HIGH</x:v>
      </x:c>
      <x:c r="E52" s="4" t="str">
        <x:v>FALSE</x:v>
      </x:c>
      <x:c r="F52" s="5" t="n">
        <x:v>46240</x:v>
      </x:c>
      <x:c r="G52" s="6" t="str">
        <x:v>The source is 'Prestation de transcription et rédaction de procès-verbaux à partir de fichiers sons numériques pour le compte du CHU de Nantes' while the candidate is 'Tierce maintenance applicative des logiciels PRENEONAT et PEDIALOG au CHU de Nantes (2 lots)'. The concrete functions/equipment are materially different; same buyer and broad digital/CPV similarity do not establish a renewal or relaunch.</x:v>
      </x:c>
      <x:c r="H52" t="inlineStr">
        <x:is>
          <x:t xml:space="preserve">25-129855</x:t>
        </x:is>
      </x:c>
      <x:c r="I52" t="inlineStr">
        <x:is>
          <x:t xml:space="preserve">26-55163</x:t>
        </x:is>
      </x:c>
      <x:c r="J52" t="inlineStr">
        <x:is>
          <x:t xml:space="preserve">26-55163</x:t>
        </x:is>
      </x:c>
      <x:c r="K52" t="inlineStr">
        <x:is>
          <x:t xml:space="preserve"/>
        </x:is>
      </x:c>
      <x:c r="L52" t="inlineStr">
        <x:is>
          <x:t xml:space="preserve">LINKED</x:t>
        </x:is>
      </x:c>
      <x:c r="M52" t="inlineStr">
        <x:is>
          <x:t xml:space="preserve">NOT_LINKED</x:t>
        </x:is>
      </x:c>
      <x:c r="N52" t="inlineStr">
        <x:is>
          <x:t xml:space="preserve">CHU NANTES</x:t>
        </x:is>
      </x:c>
      <x:c r="O52" t="inlineStr">
        <x:is>
          <x:t xml:space="preserve">NAME_FALLBACK</x:t>
        </x:is>
      </x:c>
      <x:c r="P52" t="inlineStr">
        <x:is>
          <x:t xml:space="preserve">3</x:t>
        </x:is>
      </x:c>
      <x:c r="Q52" t="inlineStr">
        <x:is>
          <x:t xml:space="preserve">2025-11-24</x:t>
        </x:is>
      </x:c>
      <x:c r="R52" t="inlineStr">
        <x:is>
          <x:t xml:space="preserve">2026-06-04</x:t>
        </x:is>
      </x:c>
      <x:c r="S52" t="inlineStr">
        <x:is>
          <x:t xml:space="preserve">6.307490144546649</x:t>
        </x:is>
      </x:c>
      <x:c r="T52" t="inlineStr">
        <x:is>
          <x:t xml:space="preserve"/>
        </x:is>
      </x:c>
      <x:c r="U52" t="inlineStr">
        <x:is>
          <x:t xml:space="preserve">DIGITAL_ICT</x:t>
        </x:is>
      </x:c>
      <x:c r="V52" t="inlineStr">
        <x:is>
          <x:t xml:space="preserve">False</x:t>
        </x:is>
      </x:c>
      <x:c r="W52" t="inlineStr">
        <x:is>
          <x:t xml:space="preserve">0.1107473958160454</x:t>
        </x:is>
      </x:c>
      <x:c r="X52" t="inlineStr">
        <x:is>
          <x:t xml:space="preserve">0.1</x:t>
        </x:is>
      </x:c>
      <x:c r="Y52" t="inlineStr">
        <x:is>
          <x:t xml:space="preserve">0.0527814279456855</x:t>
        </x:is>
      </x:c>
      <x:c r="Z52" t="inlineStr">
        <x:is>
          <x:t xml:space="preserve">0.6</x:t>
        </x:is>
      </x:c>
      <x:c r="AA52" t="inlineStr">
        <x:is>
          <x:t xml:space="preserve">0.1419569455220372</x:t>
        </x:is>
      </x:c>
      <x:c r="AB52" t="inlineStr">
        <x:is>
          <x:t xml:space="preserve">0.2399428764432565</x:t>
        </x:is>
      </x:c>
      <x:c r="AC52" t="inlineStr">
        <x:is>
          <x:t xml:space="preserve">0.1419569455220372</x:t>
        </x:is>
      </x:c>
      <x:c r="AD52" t="inlineStr">
        <x:is>
          <x:t xml:space="preserve">1</x:t>
        </x:is>
      </x:c>
      <x:c r="AE52" s="2" t="inlineStr">
        <x:is>
          <x:t xml:space="preserve">Prestation de transcription et rédaction de procès-verbaux à partir de fichiers sons numériques pour le compte du CHU de Nantes</x:t>
        </x:is>
      </x:c>
      <x:c r="AF52" s="2" t="inlineStr">
        <x:is>
          <x:t xml:space="preserve">Tierce maintenance applicative des logiciels PRENEONAT et PEDIALOG au CHU de Nantes (2 lots)</x:t>
        </x:is>
      </x:c>
      <x:c r="AG52" t="inlineStr">
        <x:is>
          <x:t xml:space="preserve">GBM_BORDERLINE_SCORE</x:t>
        </x:is>
      </x:c>
      <x:c r="AH52" t="inlineStr">
        <x:is>
          <x:t xml:space="preserve">primary_gbm@0.230964__baseline_composite@0.343167</x:t>
        </x:is>
      </x:c>
      <x:c r="AI52" t="inlineStr">
        <x:is>
          <x:t xml:space="preserve">real_boamp_layer1</x:t>
        </x:is>
      </x:c>
    </x:row>
    <x:row r="53" ht="48" customHeight="1">
      <x:c r="A53" s="4" t="inlineStr">
        <x:is>
          <x:t xml:space="preserve">AUDIT-052</x:t>
        </x:is>
      </x:c>
      <x:c r="B53" s="4" t="inlineStr">
        <x:is>
          <x:t xml:space="preserve">gbm_borderline_score</x:t>
        </x:is>
      </x:c>
      <x:c r="C53" s="4" t="str">
        <x:v>WRONG_LINK</x:v>
      </x:c>
      <x:c r="D53" s="4" t="str">
        <x:v>HIGH</x:v>
      </x:c>
      <x:c r="E53" s="4" t="str">
        <x:v>FALSE</x:v>
      </x:c>
      <x:c r="F53" s="5" t="n">
        <x:v>46240</x:v>
      </x:c>
      <x:c r="G53" s="6" t="str">
        <x:v>The source is 'La présente consultation a pour objet l'acquisition par l'IUT de Lorient de l'UBS d'une fraiseuse à commande numérique.' while the candidate is 'Equipements audiovisuels dans les salles de conseils de l'UBS'. The concrete functions/equipment are materially different; same buyer and broad digital/CPV similarity do not establish a renewal or relaunch.</x:v>
      </x:c>
      <x:c r="H53" t="inlineStr">
        <x:is>
          <x:t xml:space="preserve">22-87044</x:t>
        </x:is>
      </x:c>
      <x:c r="I53" t="inlineStr">
        <x:is>
          <x:t xml:space="preserve">23-56091</x:t>
        </x:is>
      </x:c>
      <x:c r="J53" t="inlineStr">
        <x:is>
          <x:t xml:space="preserve">23-56091</x:t>
        </x:is>
      </x:c>
      <x:c r="K53" t="inlineStr">
        <x:is>
          <x:t xml:space="preserve"/>
        </x:is>
      </x:c>
      <x:c r="L53" t="inlineStr">
        <x:is>
          <x:t xml:space="preserve">LINKED</x:t>
        </x:is>
      </x:c>
      <x:c r="M53" t="inlineStr">
        <x:is>
          <x:t xml:space="preserve">NOT_LINKED</x:t>
        </x:is>
      </x:c>
      <x:c r="N53" t="inlineStr">
        <x:is>
          <x:t xml:space="preserve">UBS</x:t>
        </x:is>
      </x:c>
      <x:c r="O53" t="inlineStr">
        <x:is>
          <x:t xml:space="preserve">NAME_FALLBACK</x:t>
        </x:is>
      </x:c>
      <x:c r="P53" t="inlineStr">
        <x:is>
          <x:t xml:space="preserve">4</x:t>
        </x:is>
      </x:c>
      <x:c r="Q53" t="inlineStr">
        <x:is>
          <x:t xml:space="preserve">2022-06-21</x:t>
        </x:is>
      </x:c>
      <x:c r="R53" t="inlineStr">
        <x:is>
          <x:t xml:space="preserve">2023-04-26</x:t>
        </x:is>
      </x:c>
      <x:c r="S53" t="inlineStr">
        <x:is>
          <x:t xml:space="preserve">10.151116951379764</x:t>
        </x:is>
      </x:c>
      <x:c r="T53" t="inlineStr">
        <x:is>
          <x:t xml:space="preserve"/>
        </x:is>
      </x:c>
      <x:c r="U53" t="inlineStr">
        <x:is>
          <x:t xml:space="preserve">DIGITAL_ICT</x:t>
        </x:is>
      </x:c>
      <x:c r="V53" t="inlineStr">
        <x:is>
          <x:t xml:space="preserve">True</x:t>
        </x:is>
      </x:c>
      <x:c r="W53" t="inlineStr">
        <x:is>
          <x:t xml:space="preserve">0.2065123253091115</x:t>
        </x:is>
      </x:c>
      <x:c r="X53" t="inlineStr">
        <x:is>
          <x:t xml:space="preserve">0.1</x:t>
        </x:is>
      </x:c>
      <x:c r="Y53" t="inlineStr">
        <x:is>
          <x:t xml:space="preserve">0.3101182654402102</x:t>
        </x:is>
      </x:c>
      <x:c r="Z53" t="inlineStr">
        <x:is>
          <x:t xml:space="preserve">0.6</x:t>
        </x:is>
      </x:c>
      <x:c r="AA53" t="inlineStr">
        <x:is>
          <x:t xml:space="preserve">0.2398088802182416</x:t>
        </x:is>
      </x:c>
      <x:c r="AB53" t="inlineStr">
        <x:is>
          <x:t xml:space="preserve">0.2712771905151348</x:t>
        </x:is>
      </x:c>
      <x:c r="AC53" t="inlineStr">
        <x:is>
          <x:t xml:space="preserve">0.2398088802182416</x:t>
        </x:is>
      </x:c>
      <x:c r="AD53" t="inlineStr">
        <x:is>
          <x:t xml:space="preserve">1</x:t>
        </x:is>
      </x:c>
      <x:c r="AE53" s="2" t="inlineStr">
        <x:is>
          <x:t xml:space="preserve">La présente consultation a pour objet l'acquisition par l'IUT de Lorient de l'UBS d'une fraiseuse à commande numérique.</x:t>
        </x:is>
      </x:c>
      <x:c r="AF53" s="2" t="inlineStr">
        <x:is>
          <x:t xml:space="preserve">Equipements audiovisuels dans les salles de conseils de l'UBS</x:t>
        </x:is>
      </x:c>
      <x:c r="AG53" t="inlineStr">
        <x:is>
          <x:t xml:space="preserve">GBM_BORDERLINE_SCORE</x:t>
        </x:is>
      </x:c>
      <x:c r="AH53" t="inlineStr">
        <x:is>
          <x:t xml:space="preserve">primary_gbm@0.230964__baseline_composite@0.343167</x:t>
        </x:is>
      </x:c>
      <x:c r="AI53" t="inlineStr">
        <x:is>
          <x:t xml:space="preserve">real_boamp_layer1</x:t>
        </x:is>
      </x:c>
    </x:row>
    <x:row r="54" ht="48" customHeight="1">
      <x:c r="A54" s="4" t="inlineStr">
        <x:is>
          <x:t xml:space="preserve">AUDIT-053</x:t>
        </x:is>
      </x:c>
      <x:c r="B54" s="4" t="inlineStr">
        <x:is>
          <x:t xml:space="preserve">gbm_borderline_score</x:t>
        </x:is>
      </x:c>
      <x:c r="C54" s="4" t="str">
        <x:v>WRONG_LINK</x:v>
      </x:c>
      <x:c r="D54" s="4" t="str">
        <x:v>HIGH</x:v>
      </x:c>
      <x:c r="E54" s="4" t="str">
        <x:v>FALSE</x:v>
      </x:c>
      <x:c r="F54" s="5" t="n">
        <x:v>46240</x:v>
      </x:c>
      <x:c r="G54" s="6" t="str">
        <x:v>The source is 'fourniture et installation d'un système d'information enfance à Cholet' while the candidate is 'travaux de mise en accessibilité des établissements recevant du public (erp) (2016-2019) groupement de commandes-accord cadre à Cholet'. The concrete functions/equipment are materially different; same buyer and broad digital/CPV similarity do not establish a renewal or relaunch.</x:v>
      </x:c>
      <x:c r="H54" t="inlineStr">
        <x:is>
          <x:t xml:space="preserve">15-146824</x:t>
        </x:is>
      </x:c>
      <x:c r="I54" t="inlineStr">
        <x:is>
          <x:t xml:space="preserve">16-9312</x:t>
        </x:is>
      </x:c>
      <x:c r="J54" t="inlineStr">
        <x:is>
          <x:t xml:space="preserve">16-9312</x:t>
        </x:is>
      </x:c>
      <x:c r="K54" t="inlineStr">
        <x:is>
          <x:t xml:space="preserve">16-9312</x:t>
        </x:is>
      </x:c>
      <x:c r="L54" t="inlineStr">
        <x:is>
          <x:t xml:space="preserve">LINKED</x:t>
        </x:is>
      </x:c>
      <x:c r="M54" t="inlineStr">
        <x:is>
          <x:t xml:space="preserve">LINKED</x:t>
        </x:is>
      </x:c>
      <x:c r="N54" t="inlineStr">
        <x:is>
          <x:t xml:space="preserve">Ville de Cholet</x:t>
        </x:is>
      </x:c>
      <x:c r="O54" t="inlineStr">
        <x:is>
          <x:t xml:space="preserve">NAME_FALLBACK</x:t>
        </x:is>
      </x:c>
      <x:c r="P54" t="inlineStr">
        <x:is>
          <x:t xml:space="preserve">7</x:t>
        </x:is>
      </x:c>
      <x:c r="Q54" t="inlineStr">
        <x:is>
          <x:t xml:space="preserve">2015-09-28</x:t>
        </x:is>
      </x:c>
      <x:c r="R54" t="inlineStr">
        <x:is>
          <x:t xml:space="preserve">2016-03-15</x:t>
        </x:is>
      </x:c>
      <x:c r="S54" t="inlineStr">
        <x:is>
          <x:t xml:space="preserve">5.551905387647832</x:t>
        </x:is>
      </x:c>
      <x:c r="T54" t="inlineStr">
        <x:is>
          <x:t xml:space="preserve"/>
        </x:is>
      </x:c>
      <x:c r="U54" t="inlineStr">
        <x:is>
          <x:t xml:space="preserve">DIGITAL_ICT</x:t>
        </x:is>
      </x:c>
      <x:c r="V54" t="inlineStr">
        <x:is>
          <x:t xml:space="preserve">True</x:t>
        </x:is>
      </x:c>
      <x:c r="W54" t="inlineStr">
        <x:is>
          <x:t xml:space="preserve">0.0943536266694895</x:t>
        </x:is>
      </x:c>
      <x:c r="X54" t="inlineStr">
        <x:is>
          <x:t xml:space="preserve">0.1</x:t>
        </x:is>
      </x:c>
      <x:c r="Y54" t="inlineStr">
        <x:is>
          <x:t xml:space="preserve">0.9288217257993868</x:t>
        </x:is>
      </x:c>
      <x:c r="Z54" t="inlineStr">
        <x:is>
          <x:t xml:space="preserve">0.6</x:t>
        </x:is>
      </x:c>
      <x:c r="AA54" t="inlineStr">
        <x:is>
          <x:t xml:space="preserve">0.355229200784168</x:t>
        </x:is>
      </x:c>
      <x:c r="AB54" t="inlineStr">
        <x:is>
          <x:t xml:space="preserve">0.247212157452608</x:t>
        </x:is>
      </x:c>
      <x:c r="AC54" t="inlineStr">
        <x:is>
          <x:t xml:space="preserve">0.355229200784168</x:t>
        </x:is>
      </x:c>
      <x:c r="AD54" t="inlineStr">
        <x:is>
          <x:t xml:space="preserve">1</x:t>
        </x:is>
      </x:c>
      <x:c r="AE54" s="2" t="inlineStr">
        <x:is>
          <x:t xml:space="preserve">fourniture et installation d'un système d'information enfance à Cholet</x:t>
        </x:is>
      </x:c>
      <x:c r="AF54" s="2" t="inlineStr">
        <x:is>
          <x:t xml:space="preserve">travaux de mise en accessibilité des établissements recevant du public (erp) (2016-2019) groupement de commandes-accord cadre à Cholet</x:t>
        </x:is>
      </x:c>
      <x:c r="AG54" t="inlineStr">
        <x:is>
          <x:t xml:space="preserve">GBM_BORDERLINE_SCORE</x:t>
        </x:is>
      </x:c>
      <x:c r="AH54" t="inlineStr">
        <x:is>
          <x:t xml:space="preserve">primary_gbm@0.230964__baseline_composite@0.343167</x:t>
        </x:is>
      </x:c>
      <x:c r="AI54" t="inlineStr">
        <x:is>
          <x:t xml:space="preserve">real_boamp_layer1</x:t>
        </x:is>
      </x:c>
    </x:row>
    <x:row r="55" ht="48" customHeight="1">
      <x:c r="A55" s="4" t="inlineStr">
        <x:is>
          <x:t xml:space="preserve">AUDIT-054</x:t>
        </x:is>
      </x:c>
      <x:c r="B55" s="4" t="inlineStr">
        <x:is>
          <x:t xml:space="preserve">gbm_borderline_score</x:t>
        </x:is>
      </x:c>
      <x:c r="C55" s="4" t="str">
        <x:v>WRONG_LINK</x:v>
      </x:c>
      <x:c r="D55" s="4" t="str">
        <x:v>HIGH</x:v>
      </x:c>
      <x:c r="E55" s="4" t="str">
        <x:v>FALSE</x:v>
      </x:c>
      <x:c r="F55" s="5" t="n">
        <x:v>46240</x:v>
      </x:c>
      <x:c r="G55" s="6" t="str">
        <x:v>The source is 'Location maintenance d'une machine de mise sous pli et d'une solution d'impression sur enveloppes haute capacité avec son logiciel - L…' while the candidate is 'Extension du système de vidéoprotection - 85000 La Roche-sur-Yon'. The concrete functions/equipment are materially different; same buyer and broad digital/CPV similarity do not establish a renewal or relaunch.</x:v>
      </x:c>
      <x:c r="H55" t="inlineStr">
        <x:is>
          <x:t xml:space="preserve">17-170763</x:t>
        </x:is>
      </x:c>
      <x:c r="I55" t="inlineStr">
        <x:is>
          <x:t xml:space="preserve">18-82638</x:t>
        </x:is>
      </x:c>
      <x:c r="J55" t="inlineStr">
        <x:is>
          <x:t xml:space="preserve">18-82638</x:t>
        </x:is>
      </x:c>
      <x:c r="K55" t="inlineStr">
        <x:is>
          <x:t xml:space="preserve">18-82638</x:t>
        </x:is>
      </x:c>
      <x:c r="L55" t="inlineStr">
        <x:is>
          <x:t xml:space="preserve">LINKED</x:t>
        </x:is>
      </x:c>
      <x:c r="M55" t="inlineStr">
        <x:is>
          <x:t xml:space="preserve">LINKED</x:t>
        </x:is>
      </x:c>
      <x:c r="N55" t="inlineStr">
        <x:is>
          <x:t xml:space="preserve">VILLE DE LA ROCHE SUR YON</x:t>
        </x:is>
      </x:c>
      <x:c r="O55" t="inlineStr">
        <x:is>
          <x:t xml:space="preserve">NAME_FALLBACK</x:t>
        </x:is>
      </x:c>
      <x:c r="P55" t="inlineStr">
        <x:is>
          <x:t xml:space="preserve">6</x:t>
        </x:is>
      </x:c>
      <x:c r="Q55" t="inlineStr">
        <x:is>
          <x:t xml:space="preserve">2017-12-04</x:t>
        </x:is>
      </x:c>
      <x:c r="R55" t="inlineStr">
        <x:is>
          <x:t xml:space="preserve">2018-06-15</x:t>
        </x:is>
      </x:c>
      <x:c r="S55" t="inlineStr">
        <x:is>
          <x:t xml:space="preserve">6.340341655716163</x:t>
        </x:is>
      </x:c>
      <x:c r="T55" t="inlineStr">
        <x:is>
          <x:t xml:space="preserve"/>
        </x:is>
      </x:c>
      <x:c r="U55" t="inlineStr">
        <x:is>
          <x:t xml:space="preserve">DIGITAL_ICT</x:t>
        </x:is>
      </x:c>
      <x:c r="V55" t="inlineStr">
        <x:is>
          <x:t xml:space="preserve">True</x:t>
        </x:is>
      </x:c>
      <x:c r="W55" t="inlineStr">
        <x:is>
          <x:t xml:space="preserve">0.2722396072784689</x:t>
        </x:is>
      </x:c>
      <x:c r="X55" t="inlineStr">
        <x:is>
          <x:t xml:space="preserve">0.1</x:t>
        </x:is>
      </x:c>
      <x:c r="Y55" t="inlineStr">
        <x:is>
          <x:t xml:space="preserve">0.939772229522558</x:t>
        </x:is>
      </x:c>
      <x:c r="Z55" t="inlineStr">
        <x:is>
          <x:t xml:space="preserve">0.6</x:t>
        </x:is>
      </x:c>
      <x:c r="AA55" t="inlineStr">
        <x:is>
          <x:t xml:space="preserve">0.4202269199281036</x:t>
        </x:is>
      </x:c>
      <x:c r="AB55" t="inlineStr">
        <x:is>
          <x:t xml:space="preserve">0.2441110463270699</x:t>
        </x:is>
      </x:c>
      <x:c r="AC55" t="inlineStr">
        <x:is>
          <x:t xml:space="preserve">0.4202269199281036</x:t>
        </x:is>
      </x:c>
      <x:c r="AD55" t="inlineStr">
        <x:is>
          <x:t xml:space="preserve">1</x:t>
        </x:is>
      </x:c>
      <x:c r="AE55" s="2" t="inlineStr">
        <x:is>
          <x:t xml:space="preserve">Location maintenance d'une machine de mise sous pli et d'une solution d'impression sur enveloppes haute capacité avec son logiciel - La Roche-sur-Yon</x:t>
        </x:is>
      </x:c>
      <x:c r="AF55" s="2" t="inlineStr">
        <x:is>
          <x:t xml:space="preserve">Extension du système de vidéoprotection - 85000 La Roche-sur-Yon</x:t>
        </x:is>
      </x:c>
      <x:c r="AG55" t="inlineStr">
        <x:is>
          <x:t xml:space="preserve">GBM_BORDERLINE_SCORE</x:t>
        </x:is>
      </x:c>
      <x:c r="AH55" t="inlineStr">
        <x:is>
          <x:t xml:space="preserve">primary_gbm@0.230964__baseline_composite@0.343167</x:t>
        </x:is>
      </x:c>
      <x:c r="AI55" t="inlineStr">
        <x:is>
          <x:t xml:space="preserve">real_boamp_layer1</x:t>
        </x:is>
      </x:c>
    </x:row>
    <x:row r="56" ht="48" customHeight="1">
      <x:c r="A56" s="4" t="inlineStr">
        <x:is>
          <x:t xml:space="preserve">AUDIT-055</x:t>
        </x:is>
      </x:c>
      <x:c r="B56" s="4" t="inlineStr">
        <x:is>
          <x:t xml:space="preserve">gbm_borderline_score</x:t>
        </x:is>
      </x:c>
      <x:c r="C56" s="4" t="str">
        <x:v>WRONG_LINK</x:v>
      </x:c>
      <x:c r="D56" s="4" t="str">
        <x:v>HIGH</x:v>
      </x:c>
      <x:c r="E56" s="4" t="str">
        <x:v>FALSE</x:v>
      </x:c>
      <x:c r="F56" s="5" t="n">
        <x:v>46240</x:v>
      </x:c>
      <x:c r="G56" s="6" t="str">
        <x:v>The source is 'modification du dossier de réalisation de la zac de l'aéropôle sur les communes d'ancenis et de mésangerprocédure adaptée à Ancenis Ce…' while the candidate is 'acquisition, mise en oeuvre et maintenance d'un sytème de gestion intégré pour une mise en réseau des bibliohtèques de la Communauté d…'. The concrete functions/equipment are materially different; same buyer and broad digital/CPV similarity do not establish a renewal or relaunch.</x:v>
      </x:c>
      <x:c r="H56" t="inlineStr">
        <x:is>
          <x:t xml:space="preserve">15-184743</x:t>
        </x:is>
      </x:c>
      <x:c r="I56" t="inlineStr">
        <x:is>
          <x:t xml:space="preserve">16-80474</x:t>
        </x:is>
      </x:c>
      <x:c r="J56" t="inlineStr">
        <x:is>
          <x:t xml:space="preserve">16-80474</x:t>
        </x:is>
      </x:c>
      <x:c r="K56" t="inlineStr">
        <x:is>
          <x:t xml:space="preserve">16-80474</x:t>
        </x:is>
      </x:c>
      <x:c r="L56" t="inlineStr">
        <x:is>
          <x:t xml:space="preserve">LINKED</x:t>
        </x:is>
      </x:c>
      <x:c r="M56" t="inlineStr">
        <x:is>
          <x:t xml:space="preserve">LINKED</x:t>
        </x:is>
      </x:c>
      <x:c r="N56" t="inlineStr">
        <x:is>
          <x:t xml:space="preserve">Com Communes du Pays d'Ancenis</x:t>
        </x:is>
      </x:c>
      <x:c r="O56" t="inlineStr">
        <x:is>
          <x:t xml:space="preserve">NAME_FALLBACK</x:t>
        </x:is>
      </x:c>
      <x:c r="P56" t="inlineStr">
        <x:is>
          <x:t xml:space="preserve">2</x:t>
        </x:is>
      </x:c>
      <x:c r="Q56" t="inlineStr">
        <x:is>
          <x:t xml:space="preserve">2015-12-11</x:t>
        </x:is>
      </x:c>
      <x:c r="R56" t="inlineStr">
        <x:is>
          <x:t xml:space="preserve">2016-06-15</x:t>
        </x:is>
      </x:c>
      <x:c r="S56" t="inlineStr">
        <x:is>
          <x:t xml:space="preserve">6.14323258869908</x:t>
        </x:is>
      </x:c>
      <x:c r="T56" t="inlineStr">
        <x:is>
          <x:t xml:space="preserve"/>
        </x:is>
      </x:c>
      <x:c r="U56" t="inlineStr">
        <x:is>
          <x:t xml:space="preserve">DIGITAL_ICT</x:t>
        </x:is>
      </x:c>
      <x:c r="V56" t="inlineStr">
        <x:is>
          <x:t xml:space="preserve">True</x:t>
        </x:is>
      </x:c>
      <x:c r="W56" t="inlineStr">
        <x:is>
          <x:t xml:space="preserve">0.1665403361023132</x:t>
        </x:is>
      </x:c>
      <x:c r="X56" t="inlineStr">
        <x:is>
          <x:t xml:space="preserve">0.1</x:t>
        </x:is>
      </x:c>
      <x:c r="Y56" t="inlineStr">
        <x:is>
          <x:t xml:space="preserve">0.9780989925536576</x:t>
        </x:is>
      </x:c>
      <x:c r="Z56" t="inlineStr">
        <x:is>
          <x:t xml:space="preserve">0.6</x:t>
        </x:is>
      </x:c>
      <x:c r="AA56" t="inlineStr">
        <x:is>
          <x:t xml:space="preserve">0.392813865774224</x:t>
        </x:is>
      </x:c>
      <x:c r="AB56" t="inlineStr">
        <x:is>
          <x:t xml:space="preserve">0.239745365423414</x:t>
        </x:is>
      </x:c>
      <x:c r="AC56" t="inlineStr">
        <x:is>
          <x:t xml:space="preserve">0.392813865774224</x:t>
        </x:is>
      </x:c>
      <x:c r="AD56" t="inlineStr">
        <x:is>
          <x:t xml:space="preserve">1</x:t>
        </x:is>
      </x:c>
      <x:c r="AE56" s="2" t="inlineStr">
        <x:is>
          <x:t xml:space="preserve">modification du dossier de réalisation de la zac de l'aéropôle sur les communes d'ancenis et de mésangerprocédure adaptée à Ancenis Cedex</x:t>
        </x:is>
      </x:c>
      <x:c r="AF56" s="2" t="inlineStr">
        <x:is>
          <x:t xml:space="preserve">acquisition, mise en oeuvre et maintenance d'un sytème de gestion intégré pour une mise en réseau des bibliohtèques de la Communauté de Communes du Pays d'Ancenis</x:t>
        </x:is>
      </x:c>
      <x:c r="AG56" t="inlineStr">
        <x:is>
          <x:t xml:space="preserve">GBM_BORDERLINE_SCORE</x:t>
        </x:is>
      </x:c>
      <x:c r="AH56" t="inlineStr">
        <x:is>
          <x:t xml:space="preserve">primary_gbm@0.230964__baseline_composite@0.343167</x:t>
        </x:is>
      </x:c>
      <x:c r="AI56" t="inlineStr">
        <x:is>
          <x:t xml:space="preserve">real_boamp_layer1</x:t>
        </x:is>
      </x:c>
    </x:row>
    <x:row r="57" ht="48" customHeight="1">
      <x:c r="A57" s="4" t="inlineStr">
        <x:is>
          <x:t xml:space="preserve">AUDIT-056</x:t>
        </x:is>
      </x:c>
      <x:c r="B57" s="4" t="inlineStr">
        <x:is>
          <x:t xml:space="preserve">gbm_borderline_score</x:t>
        </x:is>
      </x:c>
      <x:c r="C57" s="4" t="str">
        <x:v>WRONG_LINK</x:v>
      </x:c>
      <x:c r="D57" s="4" t="str">
        <x:v>MEDIUM</x:v>
      </x:c>
      <x:c r="E57" s="4" t="str">
        <x:v>TRUE</x:v>
      </x:c>
      <x:c r="F57" s="5" t="n">
        <x:v>46240</x:v>
      </x:c>
      <x:c r="G57" s="6" t="str">
        <x:v>The source is 'acquisition, installation et maintenance d'un progiciel pour la gestion comptable et financière à Le Lion D'Angers' while the candidate is 'acquisition, mise en place et maintenance d'un logiciel métier et déploiement d'un portail famille pour la communauté de communes de l…'. The concrete functions/equipment are materially different; same buyer and broad digital/CPV similarity do not establish a renewal or relaunch.</x:v>
      </x:c>
      <x:c r="H57" t="inlineStr">
        <x:is>
          <x:t xml:space="preserve">16-18733</x:t>
        </x:is>
      </x:c>
      <x:c r="I57" t="inlineStr">
        <x:is>
          <x:t xml:space="preserve">16-183509</x:t>
        </x:is>
      </x:c>
      <x:c r="J57" t="inlineStr">
        <x:is>
          <x:t xml:space="preserve">16-183509</x:t>
        </x:is>
      </x:c>
      <x:c r="K57" t="inlineStr">
        <x:is>
          <x:t xml:space="preserve"/>
        </x:is>
      </x:c>
      <x:c r="L57" t="inlineStr">
        <x:is>
          <x:t xml:space="preserve">LINKED</x:t>
        </x:is>
      </x:c>
      <x:c r="M57" t="inlineStr">
        <x:is>
          <x:t xml:space="preserve">NOT_LINKED</x:t>
        </x:is>
      </x:c>
      <x:c r="N57" t="inlineStr">
        <x:is>
          <x:t xml:space="preserve">CCRLA</x:t>
        </x:is>
      </x:c>
      <x:c r="O57" t="inlineStr">
        <x:is>
          <x:t xml:space="preserve">NAME_FALLBACK</x:t>
        </x:is>
      </x:c>
      <x:c r="P57" t="inlineStr">
        <x:is>
          <x:t xml:space="preserve">3</x:t>
        </x:is>
      </x:c>
      <x:c r="Q57" t="inlineStr">
        <x:is>
          <x:t xml:space="preserve">2016-02-08</x:t>
        </x:is>
      </x:c>
      <x:c r="R57" t="inlineStr">
        <x:is>
          <x:t xml:space="preserve">2016-12-23</x:t>
        </x:is>
      </x:c>
      <x:c r="S57" t="inlineStr">
        <x:is>
          <x:t xml:space="preserve">10.4796320630749</x:t>
        </x:is>
      </x:c>
      <x:c r="T57" t="inlineStr">
        <x:is>
          <x:t xml:space="preserve"/>
        </x:is>
      </x:c>
      <x:c r="U57" t="inlineStr">
        <x:is>
          <x:t xml:space="preserve">DIGITAL_ICT</x:t>
        </x:is>
      </x:c>
      <x:c r="V57" t="inlineStr">
        <x:is>
          <x:t xml:space="preserve">True</x:t>
        </x:is>
      </x:c>
      <x:c r="W57" t="inlineStr">
        <x:is>
          <x:t xml:space="preserve">0.2347279380277744</x:t>
        </x:is>
      </x:c>
      <x:c r="X57" t="inlineStr">
        <x:is>
          <x:t xml:space="preserve">0.1</x:t>
        </x:is>
      </x:c>
      <x:c r="Y57" t="inlineStr">
        <x:is>
          <x:t xml:space="preserve">0.2498904949627682</x:t>
        </x:is>
      </x:c>
      <x:c r="Z57" t="inlineStr">
        <x:is>
          <x:t xml:space="preserve">0.6</x:t>
        </x:is>
      </x:c>
      <x:c r="AA57" t="inlineStr">
        <x:is>
          <x:t xml:space="preserve">0.2346274020504131</x:t>
        </x:is>
      </x:c>
      <x:c r="AB57" t="inlineStr">
        <x:is>
          <x:t xml:space="preserve">0.2571032491847189</x:t>
        </x:is>
      </x:c>
      <x:c r="AC57" t="inlineStr">
        <x:is>
          <x:t xml:space="preserve">0.2346274020504131</x:t>
        </x:is>
      </x:c>
      <x:c r="AD57" t="inlineStr">
        <x:is>
          <x:t xml:space="preserve">1</x:t>
        </x:is>
      </x:c>
      <x:c r="AE57" s="2" t="inlineStr">
        <x:is>
          <x:t xml:space="preserve">acquisition, installation et maintenance d'un progiciel pour la gestion comptable et financière à Le Lion D'Angers</x:t>
        </x:is>
      </x:c>
      <x:c r="AF57" s="2" t="inlineStr">
        <x:is>
          <x:t xml:space="preserve">acquisition, mise en place et maintenance d'un logiciel métier et déploiement d'un portail famille pour la communauté de communes de la région du lion d'angers</x:t>
        </x:is>
      </x:c>
      <x:c r="AG57" t="inlineStr">
        <x:is>
          <x:t xml:space="preserve">GBM_BORDERLINE_SCORE</x:t>
        </x:is>
      </x:c>
      <x:c r="AH57" t="inlineStr">
        <x:is>
          <x:t xml:space="preserve">primary_gbm@0.230964__baseline_composite@0.343167</x:t>
        </x:is>
      </x:c>
      <x:c r="AI57" t="inlineStr">
        <x:is>
          <x:t xml:space="preserve">real_boamp_layer1</x:t>
        </x:is>
      </x:c>
    </x:row>
    <x:row r="58" ht="48" customHeight="1">
      <x:c r="A58" s="4" t="inlineStr">
        <x:is>
          <x:t xml:space="preserve">AUDIT-057</x:t>
        </x:is>
      </x:c>
      <x:c r="B58" s="4" t="inlineStr">
        <x:is>
          <x:t xml:space="preserve">gbm_borderline_score</x:t>
        </x:is>
      </x:c>
      <x:c r="C58" s="4" t="str">
        <x:v>CORRECT_LINK</x:v>
      </x:c>
      <x:c r="D58" s="4" t="str">
        <x:v>HIGH</x:v>
      </x:c>
      <x:c r="E58" s="4" t="str">
        <x:v>FALSE</x:v>
      </x:c>
      <x:c r="F58" s="5" t="n">
        <x:v>46240</x:v>
      </x:c>
      <x:c r="G58" s="6" t="str">
        <x:v>The candidate title says RELANCE and the official notice states that the first procedure was declared without further action for public-interest reasons. The technical object is the same prospect/exhibitor/floor-plan solution.</x:v>
      </x:c>
      <x:c r="H58" t="inlineStr">
        <x:is>
          <x:t xml:space="preserve">25-125277</x:t>
        </x:is>
      </x:c>
      <x:c r="I58" t="inlineStr">
        <x:is>
          <x:t xml:space="preserve">26-3165</x:t>
        </x:is>
      </x:c>
      <x:c r="J58" t="inlineStr">
        <x:is>
          <x:t xml:space="preserve">26-3165</x:t>
        </x:is>
      </x:c>
      <x:c r="K58" t="inlineStr">
        <x:is>
          <x:t xml:space="preserve">26-3165</x:t>
        </x:is>
      </x:c>
      <x:c r="L58" t="inlineStr">
        <x:is>
          <x:t xml:space="preserve">LINKED</x:t>
        </x:is>
      </x:c>
      <x:c r="M58" t="inlineStr">
        <x:is>
          <x:t xml:space="preserve">LINKED</x:t>
        </x:is>
      </x:c>
      <x:c r="N58" t="inlineStr">
        <x:is>
          <x:t xml:space="preserve">ANGERS LOIRE TOURISME EXPO CONGRES</x:t>
        </x:is>
      </x:c>
      <x:c r="O58" t="inlineStr">
        <x:is>
          <x:t xml:space="preserve">RAW_SIRET</x:t>
        </x:is>
      </x:c>
      <x:c r="P58" t="inlineStr">
        <x:is>
          <x:t xml:space="preserve">8</x:t>
        </x:is>
      </x:c>
      <x:c r="Q58" t="inlineStr">
        <x:is>
          <x:t xml:space="preserve">2025-11-13</x:t>
        </x:is>
      </x:c>
      <x:c r="R58" t="inlineStr">
        <x:is>
          <x:t xml:space="preserve">2026-01-13</x:t>
        </x:is>
      </x:c>
      <x:c r="S58" t="inlineStr">
        <x:is>
          <x:t xml:space="preserve">2.0039421813403417</x:t>
        </x:is>
      </x:c>
      <x:c r="T58" t="inlineStr">
        <x:is>
          <x:t xml:space="preserve">48000000.0</x:t>
        </x:is>
      </x:c>
      <x:c r="U58" t="inlineStr">
        <x:is>
          <x:t xml:space="preserve">DIGITAL_ICT</x:t>
        </x:is>
      </x:c>
      <x:c r="V58" t="inlineStr">
        <x:is>
          <x:t xml:space="preserve">False</x:t>
        </x:is>
      </x:c>
      <x:c r="W58" t="inlineStr">
        <x:is>
          <x:t xml:space="preserve">0.8467874770335315</x:t>
        </x:is>
      </x:c>
      <x:c r="X58" t="inlineStr">
        <x:is>
          <x:t xml:space="preserve">1.0</x:t>
        </x:is>
      </x:c>
      <x:c r="Y58" t="inlineStr">
        <x:is>
          <x:t xml:space="preserve">0.3648707840560666</x:t>
        </x:is>
      </x:c>
      <x:c r="Z58" t="inlineStr">
        <x:is>
          <x:t xml:space="preserve">1.0</x:t>
        </x:is>
      </x:c>
      <x:c r="AA58" t="inlineStr">
        <x:is>
          <x:t xml:space="preserve">0.7875933129757526</x:t>
        </x:is>
      </x:c>
      <x:c r="AB58" t="inlineStr">
        <x:is>
          <x:t xml:space="preserve">0.2547846382427501</x:t>
        </x:is>
      </x:c>
      <x:c r="AC58" t="inlineStr">
        <x:is>
          <x:t xml:space="preserve">0.7875933129757526</x:t>
        </x:is>
      </x:c>
      <x:c r="AD58" t="inlineStr">
        <x:is>
          <x:t xml:space="preserve">1</x:t>
        </x:is>
      </x:c>
      <x:c r="AE58" s="2" t="inlineStr">
        <x:is>
          <x:t xml:space="preserve">Fourniture, mise en œuvre, maintenance et expertise pour une solution de suivi des prospects, la gestion des exposants et l’administration des plans d’implantation pour les salons de DESTINATION AN...</x:t>
        </x:is>
      </x:c>
      <x:c r="AF58" s="2" t="inlineStr">
        <x:is>
          <x:t xml:space="preserve">SOLUTION DE SUIVI DES PROSPECTS, LA GESTION DES EXPOSANTS ET L’ADMINISTRATION DES PLANS D’IMPLANTATION POUR LES SALONS DE DESTINATION ANGERS (RELANCE)</x:t>
        </x:is>
      </x:c>
      <x:c r="AG58" t="inlineStr">
        <x:is>
          <x:t xml:space="preserve">GBM_BORDERLINE_SCORE</x:t>
        </x:is>
      </x:c>
      <x:c r="AH58" t="inlineStr">
        <x:is>
          <x:t xml:space="preserve">primary_gbm@0.230964__baseline_composite@0.343167</x:t>
        </x:is>
      </x:c>
      <x:c r="AI58" t="inlineStr">
        <x:is>
          <x:t xml:space="preserve">real_boamp_layer1</x:t>
        </x:is>
      </x:c>
    </x:row>
    <x:row r="59" ht="48" customHeight="1">
      <x:c r="A59" s="4" t="inlineStr">
        <x:is>
          <x:t xml:space="preserve">AUDIT-058</x:t>
        </x:is>
      </x:c>
      <x:c r="B59" s="4" t="inlineStr">
        <x:is>
          <x:t xml:space="preserve">gbm_borderline_score</x:t>
        </x:is>
      </x:c>
      <x:c r="C59" s="4" t="str">
        <x:v>CORRECT_LINK</x:v>
      </x:c>
      <x:c r="D59" s="4" t="str">
        <x:v>MEDIUM</x:v>
      </x:c>
      <x:c r="E59" s="4" t="str">
        <x:v>TRUE</x:v>
      </x:c>
      <x:c r="F59" s="5" t="n">
        <x:v>46240</x:v>
      </x:c>
      <x:c r="G59" s="6" t="str">
        <x:v>The notices describe the same social-support management software, the same buyer group and the same five-year implementation/maintenance scope. The later initial notice is a credible reissued procedure, although BOAMP does not expose an explicit link.</x:v>
      </x:c>
      <x:c r="H59" t="inlineStr">
        <x:is>
          <x:t xml:space="preserve">19-110370</x:t>
        </x:is>
      </x:c>
      <x:c r="I59" t="inlineStr">
        <x:is>
          <x:t xml:space="preserve">20-38676</x:t>
        </x:is>
      </x:c>
      <x:c r="J59" t="inlineStr">
        <x:is>
          <x:t xml:space="preserve">20-38676</x:t>
        </x:is>
      </x:c>
      <x:c r="K59" t="inlineStr">
        <x:is>
          <x:t xml:space="preserve">20-38676</x:t>
        </x:is>
      </x:c>
      <x:c r="L59" t="inlineStr">
        <x:is>
          <x:t xml:space="preserve">LINKED</x:t>
        </x:is>
      </x:c>
      <x:c r="M59" t="inlineStr">
        <x:is>
          <x:t xml:space="preserve">LINKED</x:t>
        </x:is>
      </x:c>
      <x:c r="N59" t="inlineStr">
        <x:is>
          <x:t xml:space="preserve">COMMUNE DE NANTES</x:t>
        </x:is>
      </x:c>
      <x:c r="O59" t="inlineStr">
        <x:is>
          <x:t xml:space="preserve">NAME_FALLBACK</x:t>
        </x:is>
      </x:c>
      <x:c r="P59" t="inlineStr">
        <x:is>
          <x:t xml:space="preserve">24</x:t>
        </x:is>
      </x:c>
      <x:c r="Q59" t="inlineStr">
        <x:is>
          <x:t xml:space="preserve">2019-07-19</x:t>
        </x:is>
      </x:c>
      <x:c r="R59" t="inlineStr">
        <x:is>
          <x:t xml:space="preserve">2020-03-15</x:t>
        </x:is>
      </x:c>
      <x:c r="S59" t="inlineStr">
        <x:is>
          <x:t xml:space="preserve">7.884362680683311</x:t>
        </x:is>
      </x:c>
      <x:c r="T59" t="inlineStr">
        <x:is>
          <x:t xml:space="preserve">48000000.0</x:t>
        </x:is>
      </x:c>
      <x:c r="U59" t="inlineStr">
        <x:is>
          <x:t xml:space="preserve">DIGITAL_ICT</x:t>
        </x:is>
      </x:c>
      <x:c r="V59" t="inlineStr">
        <x:is>
          <x:t xml:space="preserve">True</x:t>
        </x:is>
      </x:c>
      <x:c r="W59" t="inlineStr">
        <x:is>
          <x:t xml:space="preserve">0.6170995647021217</x:t>
        </x:is>
      </x:c>
      <x:c r="X59" t="inlineStr">
        <x:is>
          <x:t xml:space="preserve">1.0</x:t>
        </x:is>
      </x:c>
      <x:c r="Y59" t="inlineStr">
        <x:is>
          <x:t xml:space="preserve">0.6933858957512046</x:t>
        </x:is>
      </x:c>
      <x:c r="Z59" t="inlineStr">
        <x:is>
          <x:t xml:space="preserve">0.6</x:t>
        </x:is>
      </x:c>
      <x:c r="AA59" t="inlineStr">
        <x:is>
          <x:t xml:space="preserve">0.7493313215835438</x:t>
        </x:is>
      </x:c>
      <x:c r="AB59" t="inlineStr">
        <x:is>
          <x:t xml:space="preserve">0.2431214326987212</x:t>
        </x:is>
      </x:c>
      <x:c r="AC59" t="inlineStr">
        <x:is>
          <x:t xml:space="preserve">0.3814528556380065</x:t>
        </x:is>
      </x:c>
      <x:c r="AD59" t="inlineStr">
        <x:is>
          <x:t xml:space="preserve">9</x:t>
        </x:is>
      </x:c>
      <x:c r="AE59" s="2" t="inlineStr">
        <x:is>
          <x:t xml:space="preserve">acquisition et installation d'un logiciel de gestion de l'accompagnement social, des aides et des prestations de solidarité pour la ville de nantes, son ccas, et nantes métropole.</x:t>
        </x:is>
      </x:c>
      <x:c r="AF59" s="2" t="inlineStr">
        <x:is>
          <x:t xml:space="preserve">acquisition et installation d'un logiciel de gestion de l'accompagnement social</x:t>
        </x:is>
      </x:c>
      <x:c r="AG59" t="inlineStr">
        <x:is>
          <x:t xml:space="preserve">GBM_BORDERLINE_SCORE</x:t>
        </x:is>
      </x:c>
      <x:c r="AH59" t="inlineStr">
        <x:is>
          <x:t xml:space="preserve">primary_gbm@0.230964__baseline_composite@0.343167</x:t>
        </x:is>
      </x:c>
      <x:c r="AI59" t="inlineStr">
        <x:is>
          <x:t xml:space="preserve">real_boamp_layer1</x:t>
        </x:is>
      </x:c>
    </x:row>
    <x:row r="60" ht="48" customHeight="1">
      <x:c r="A60" s="4" t="inlineStr">
        <x:is>
          <x:t xml:space="preserve">AUDIT-059</x:t>
        </x:is>
      </x:c>
      <x:c r="B60" s="4" t="inlineStr">
        <x:is>
          <x:t xml:space="preserve">gbm_borderline_score</x:t>
        </x:is>
      </x:c>
      <x:c r="C60" s="4" t="str">
        <x:v>WRONG_LINK</x:v>
      </x:c>
      <x:c r="D60" s="4" t="str">
        <x:v>HIGH</x:v>
      </x:c>
      <x:c r="E60" s="4" t="str">
        <x:v>FALSE</x:v>
      </x:c>
      <x:c r="F60" s="5" t="n">
        <x:v>46240</x:v>
      </x:c>
      <x:c r="G60" s="6" t="str">
        <x:v>The source is 'Prestations pour le déploiement d'équipements informatiques' while the candidate is 'Renouvellement du dispositif de lutrins patrimoniaux dans le centre-ville d'Angers (Maine-et-Loire)'. The concrete functions/equipment are materially different; same buyer and broad digital/CPV similarity do not establish a renewal or relaunch.</x:v>
      </x:c>
      <x:c r="H60" t="inlineStr">
        <x:is>
          <x:t xml:space="preserve">18-32259</x:t>
        </x:is>
      </x:c>
      <x:c r="I60" t="inlineStr">
        <x:is>
          <x:t xml:space="preserve">19-10579</x:t>
        </x:is>
      </x:c>
      <x:c r="J60" t="inlineStr">
        <x:is>
          <x:t xml:space="preserve">19-10579</x:t>
        </x:is>
      </x:c>
      <x:c r="K60" t="inlineStr">
        <x:is>
          <x:t xml:space="preserve"/>
        </x:is>
      </x:c>
      <x:c r="L60" t="inlineStr">
        <x:is>
          <x:t xml:space="preserve">LINKED</x:t>
        </x:is>
      </x:c>
      <x:c r="M60" t="inlineStr">
        <x:is>
          <x:t xml:space="preserve">NOT_LINKED</x:t>
        </x:is>
      </x:c>
      <x:c r="N60" t="inlineStr">
        <x:is>
          <x:t xml:space="preserve">Ville d'Angers</x:t>
        </x:is>
      </x:c>
      <x:c r="O60" t="inlineStr">
        <x:is>
          <x:t xml:space="preserve">NAME_FALLBACK</x:t>
        </x:is>
      </x:c>
      <x:c r="P60" t="inlineStr">
        <x:is>
          <x:t xml:space="preserve">17</x:t>
        </x:is>
      </x:c>
      <x:c r="Q60" t="inlineStr">
        <x:is>
          <x:t xml:space="preserve">2018-03-07</x:t>
        </x:is>
      </x:c>
      <x:c r="R60" t="inlineStr">
        <x:is>
          <x:t xml:space="preserve">2019-01-21</x:t>
        </x:is>
      </x:c>
      <x:c r="S60" t="inlineStr">
        <x:is>
          <x:t xml:space="preserve">10.512483574244415</x:t>
        </x:is>
      </x:c>
      <x:c r="T60" t="inlineStr">
        <x:is>
          <x:t xml:space="preserve"/>
        </x:is>
      </x:c>
      <x:c r="U60" t="inlineStr">
        <x:is>
          <x:t xml:space="preserve">DIGITAL_ICT</x:t>
        </x:is>
      </x:c>
      <x:c r="V60" t="inlineStr">
        <x:is>
          <x:t xml:space="preserve">True</x:t>
        </x:is>
      </x:c>
      <x:c r="W60" t="inlineStr">
        <x:is>
          <x:t xml:space="preserve">0.0209101714787785</x:t>
        </x:is>
      </x:c>
      <x:c r="X60" t="inlineStr">
        <x:is>
          <x:t xml:space="preserve">0.1</x:t>
        </x:is>
      </x:c>
      <x:c r="Y60" t="inlineStr">
        <x:is>
          <x:t xml:space="preserve">0.2553657468243538</x:t>
        </x:is>
      </x:c>
      <x:c r="Z60" t="inlineStr">
        <x:is>
          <x:t xml:space="preserve">0.6</x:t>
        </x:is>
      </x:c>
      <x:c r="AA60" t="inlineStr">
        <x:is>
          <x:t xml:space="preserve">0.1611599967236609</x:t>
        </x:is>
      </x:c>
      <x:c r="AB60" t="inlineStr">
        <x:is>
          <x:t xml:space="preserve">0.2702194186802205</x:t>
        </x:is>
      </x:c>
      <x:c r="AC60" t="inlineStr">
        <x:is>
          <x:t xml:space="preserve">0.1611599967236609</x:t>
        </x:is>
      </x:c>
      <x:c r="AD60" t="inlineStr">
        <x:is>
          <x:t xml:space="preserve">1</x:t>
        </x:is>
      </x:c>
      <x:c r="AE60" s="2" t="inlineStr">
        <x:is>
          <x:t xml:space="preserve">Prestations pour le déploiement d'équipements informatiques</x:t>
        </x:is>
      </x:c>
      <x:c r="AF60" s="2" t="inlineStr">
        <x:is>
          <x:t xml:space="preserve">Renouvellement du dispositif de lutrins patrimoniaux dans le centre-ville d'Angers (Maine-et-Loire)</x:t>
        </x:is>
      </x:c>
      <x:c r="AG60" t="inlineStr">
        <x:is>
          <x:t xml:space="preserve">GBM_BORDERLINE_SCORE</x:t>
        </x:is>
      </x:c>
      <x:c r="AH60" t="inlineStr">
        <x:is>
          <x:t xml:space="preserve">primary_gbm@0.230964__baseline_composite@0.343167</x:t>
        </x:is>
      </x:c>
      <x:c r="AI60" t="inlineStr">
        <x:is>
          <x:t xml:space="preserve">real_boamp_layer1</x:t>
        </x:is>
      </x:c>
    </x:row>
    <x:row r="61" ht="48" customHeight="1">
      <x:c r="A61" s="4" t="inlineStr">
        <x:is>
          <x:t xml:space="preserve">AUDIT-060</x:t>
        </x:is>
      </x:c>
      <x:c r="B61" s="4" t="inlineStr">
        <x:is>
          <x:t xml:space="preserve">gbm_borderline_score</x:t>
        </x:is>
      </x:c>
      <x:c r="C61" s="4" t="str">
        <x:v>WRONG_LINK</x:v>
      </x:c>
      <x:c r="D61" s="4" t="str">
        <x:v>HIGH</x:v>
      </x:c>
      <x:c r="E61" s="4" t="str">
        <x:v>FALSE</x:v>
      </x:c>
      <x:c r="F61" s="5" t="n">
        <x:v>46240</x:v>
      </x:c>
      <x:c r="G61" s="6" t="str">
        <x:v>The source is a rectifying notice for a scenography assignment, while the candidate is intranet third-party application maintenance. The objects are unrelated.</x:v>
      </x:c>
      <x:c r="H61" t="inlineStr">
        <x:is>
          <x:t xml:space="preserve">19-113409</x:t>
        </x:is>
      </x:c>
      <x:c r="I61" t="inlineStr">
        <x:is>
          <x:t xml:space="preserve">20-37796</x:t>
        </x:is>
      </x:c>
      <x:c r="J61" t="inlineStr">
        <x:is>
          <x:t xml:space="preserve">20-37796</x:t>
        </x:is>
      </x:c>
      <x:c r="K61" t="inlineStr">
        <x:is>
          <x:t xml:space="preserve"/>
        </x:is>
      </x:c>
      <x:c r="L61" t="inlineStr">
        <x:is>
          <x:t xml:space="preserve">LINKED</x:t>
        </x:is>
      </x:c>
      <x:c r="M61" t="inlineStr">
        <x:is>
          <x:t xml:space="preserve">NOT_LINKED</x:t>
        </x:is>
      </x:c>
      <x:c r="N61" t="inlineStr">
        <x:is>
          <x:t xml:space="preserve">Communauté d'agglomération du Niortais</x:t>
        </x:is>
      </x:c>
      <x:c r="O61" t="inlineStr">
        <x:is>
          <x:t xml:space="preserve">NAME_FALLBACK</x:t>
        </x:is>
      </x:c>
      <x:c r="P61" t="inlineStr">
        <x:is>
          <x:t xml:space="preserve">13</x:t>
        </x:is>
      </x:c>
      <x:c r="Q61" t="inlineStr">
        <x:is>
          <x:t xml:space="preserve">2019-07-19</x:t>
        </x:is>
      </x:c>
      <x:c r="R61" t="inlineStr">
        <x:is>
          <x:t xml:space="preserve">2020-03-12</x:t>
        </x:is>
      </x:c>
      <x:c r="S61" t="inlineStr">
        <x:is>
          <x:t xml:space="preserve">7.7858081471747695</x:t>
        </x:is>
      </x:c>
      <x:c r="T61" t="inlineStr">
        <x:is>
          <x:t xml:space="preserve"/>
        </x:is>
      </x:c>
      <x:c r="U61" t="inlineStr">
        <x:is>
          <x:t xml:space="preserve">DIGITAL_ICT</x:t>
        </x:is>
      </x:c>
      <x:c r="V61" t="inlineStr">
        <x:is>
          <x:t xml:space="preserve">True</x:t>
        </x:is>
      </x:c>
      <x:c r="W61" t="inlineStr">
        <x:is>
          <x:t xml:space="preserve">0.15294155665177</x:t>
        </x:is>
      </x:c>
      <x:c r="X61" t="inlineStr">
        <x:is>
          <x:t xml:space="preserve">0.1</x:t>
        </x:is>
      </x:c>
      <x:c r="Y61" t="inlineStr">
        <x:is>
          <x:t xml:space="preserve">0.7098116513359615</x:t>
        </x:is>
      </x:c>
      <x:c r="Z61" t="inlineStr">
        <x:is>
          <x:t xml:space="preserve">0.6</x:t>
        </x:is>
      </x:c>
      <x:c r="AA61" t="inlineStr">
        <x:is>
          <x:t xml:space="preserve">0.3209824576621098</x:t>
        </x:is>
      </x:c>
      <x:c r="AB61" t="inlineStr">
        <x:is>
          <x:t xml:space="preserve">0.2736644013650423</x:t>
        </x:is>
      </x:c>
      <x:c r="AC61" t="inlineStr">
        <x:is>
          <x:t xml:space="preserve">0.3209824576621098</x:t>
        </x:is>
      </x:c>
      <x:c r="AD61" t="inlineStr">
        <x:is>
          <x:t xml:space="preserve">1</x:t>
        </x:is>
      </x:c>
      <x:c r="AE61" s="2" t="inlineStr">
        <x:is>
          <x:t xml:space="preserve">Mission de conception et suivi de la réalisation de la scénographie du centre d'interprétation, sur le site Port-Boinot à Niort, dénommé " Séchoir 3.0 "</x:t>
        </x:is>
      </x:c>
      <x:c r="AF61" s="2" t="inlineStr">
        <x:is>
          <x:t xml:space="preserve">La présente consultation a pour objet :-La réalisation de prestations de Tierce Maintenance Applicative des sites intranet de la Communauté d'Agglomération du Niortais, de la Ville de Niort et d</x:t>
        </x:is>
      </x:c>
      <x:c r="AG61" t="inlineStr">
        <x:is>
          <x:t xml:space="preserve">GBM_BORDERLINE_SCORE</x:t>
        </x:is>
      </x:c>
      <x:c r="AH61" t="inlineStr">
        <x:is>
          <x:t xml:space="preserve">primary_gbm@0.230964__baseline_composite@0.343167</x:t>
        </x:is>
      </x:c>
      <x:c r="AI61" t="inlineStr">
        <x:is>
          <x:t xml:space="preserve">real_boamp_layer1</x:t>
        </x:is>
      </x:c>
    </x:row>
    <x:row r="62" ht="48" customHeight="1">
      <x:c r="A62" s="4" t="inlineStr">
        <x:is>
          <x:t xml:space="preserve">AUDIT-061</x:t>
        </x:is>
      </x:c>
      <x:c r="B62" s="4" t="inlineStr">
        <x:is>
          <x:t xml:space="preserve">gbm_borderline_score</x:t>
        </x:is>
      </x:c>
      <x:c r="C62" s="4" t="str">
        <x:v>WRONG_LINK</x:v>
      </x:c>
      <x:c r="D62" s="4" t="str">
        <x:v>HIGH</x:v>
      </x:c>
      <x:c r="E62" s="4" t="str">
        <x:v>FALSE</x:v>
      </x:c>
      <x:c r="F62" s="5" t="n">
        <x:v>46240</x:v>
      </x:c>
      <x:c r="G62" s="6" t="str">
        <x:v>The source is 'fourniture de vêtements et chaussures pour les agents de la police municipale, de la police métropolitaine des transports en commun et…' while the candidate is 'mise en oeuvre d'une solution logicielle de conception assistée par ordinateur métal et bois, maintenance et prestations associées'. The concrete functions/equipment are materially different; same buyer and broad digital/CPV similarity do not establish a renewal or relaunch.</x:v>
      </x:c>
      <x:c r="H62" t="inlineStr">
        <x:is>
          <x:t xml:space="preserve">20-29934</x:t>
        </x:is>
      </x:c>
      <x:c r="I62" t="inlineStr">
        <x:is>
          <x:t xml:space="preserve">20-143279</x:t>
        </x:is>
      </x:c>
      <x:c r="J62" t="inlineStr">
        <x:is>
          <x:t xml:space="preserve">20-143279</x:t>
        </x:is>
      </x:c>
      <x:c r="K62" t="inlineStr">
        <x:is>
          <x:t xml:space="preserve"/>
        </x:is>
      </x:c>
      <x:c r="L62" t="inlineStr">
        <x:is>
          <x:t xml:space="preserve">LINKED</x:t>
        </x:is>
      </x:c>
      <x:c r="M62" t="inlineStr">
        <x:is>
          <x:t xml:space="preserve">NOT_LINKED</x:t>
        </x:is>
      </x:c>
      <x:c r="N62" t="inlineStr">
        <x:is>
          <x:t xml:space="preserve">Ville de Nantes</x:t>
        </x:is>
      </x:c>
      <x:c r="O62" t="inlineStr">
        <x:is>
          <x:t xml:space="preserve">NAME_FALLBACK</x:t>
        </x:is>
      </x:c>
      <x:c r="P62" t="inlineStr">
        <x:is>
          <x:t xml:space="preserve">36</x:t>
        </x:is>
      </x:c>
      <x:c r="Q62" t="inlineStr">
        <x:is>
          <x:t xml:space="preserve">2020-02-28</x:t>
        </x:is>
      </x:c>
      <x:c r="R62" t="inlineStr">
        <x:is>
          <x:t xml:space="preserve">2020-12-08</x:t>
        </x:is>
      </x:c>
      <x:c r="S62" t="inlineStr">
        <x:is>
          <x:t xml:space="preserve">9.32982917214192</x:t>
        </x:is>
      </x:c>
      <x:c r="T62" t="inlineStr">
        <x:is>
          <x:t xml:space="preserve">35811200.0</x:t>
        </x:is>
      </x:c>
      <x:c r="U62" t="inlineStr">
        <x:is>
          <x:t xml:space="preserve">DIGITAL_ICT</x:t>
        </x:is>
      </x:c>
      <x:c r="V62" t="inlineStr">
        <x:is>
          <x:t xml:space="preserve">True</x:t>
        </x:is>
      </x:c>
      <x:c r="W62" t="inlineStr">
        <x:is>
          <x:t xml:space="preserve">0.0178056845964585</x:t>
        </x:is>
      </x:c>
      <x:c r="X62" t="inlineStr">
        <x:is>
          <x:t xml:space="preserve">0.1</x:t>
        </x:is>
      </x:c>
      <x:c r="Y62" t="inlineStr">
        <x:is>
          <x:t xml:space="preserve">0.2717915024091107</x:t>
        </x:is>
      </x:c>
      <x:c r="Z62" t="inlineStr">
        <x:is>
          <x:t xml:space="preserve">0.6</x:t>
        </x:is>
      </x:c>
      <x:c r="AA62" t="inlineStr">
        <x:is>
          <x:t xml:space="preserve">0.1641798652110381</x:t>
        </x:is>
      </x:c>
      <x:c r="AB62" t="inlineStr">
        <x:is>
          <x:t xml:space="preserve">0.2803225407694824</x:t>
        </x:is>
      </x:c>
      <x:c r="AC62" t="inlineStr">
        <x:is>
          <x:t xml:space="preserve">0.1641798652110381</x:t>
        </x:is>
      </x:c>
      <x:c r="AD62" t="inlineStr">
        <x:is>
          <x:t xml:space="preserve">1</x:t>
        </x:is>
      </x:c>
      <x:c r="AE62" s="2" t="inlineStr">
        <x:is>
          <x:t xml:space="preserve">fourniture de vêtements et chaussures pour les agents de la police municipale, de la police métropolitaine des transports en commun et du service stationnement sur voirie</x:t>
        </x:is>
      </x:c>
      <x:c r="AF62" s="2" t="inlineStr">
        <x:is>
          <x:t xml:space="preserve">mise en oeuvre d'une solution logicielle de conception assistée par ordinateur métal et bois, maintenance et prestations associées</x:t>
        </x:is>
      </x:c>
      <x:c r="AG62" t="inlineStr">
        <x:is>
          <x:t xml:space="preserve">GBM_BORDERLINE_SCORE</x:t>
        </x:is>
      </x:c>
      <x:c r="AH62" t="inlineStr">
        <x:is>
          <x:t xml:space="preserve">primary_gbm@0.230964__baseline_composite@0.343167</x:t>
        </x:is>
      </x:c>
      <x:c r="AI62" t="inlineStr">
        <x:is>
          <x:t xml:space="preserve">real_boamp_layer1</x:t>
        </x:is>
      </x:c>
    </x:row>
    <x:row r="63" ht="48" customHeight="1">
      <x:c r="A63" s="4" t="inlineStr">
        <x:is>
          <x:t xml:space="preserve">AUDIT-062</x:t>
        </x:is>
      </x:c>
      <x:c r="B63" s="4" t="inlineStr">
        <x:is>
          <x:t xml:space="preserve">gbm_borderline_score</x:t>
        </x:is>
      </x:c>
      <x:c r="C63" s="4" t="str">
        <x:v>WRONG_LINK</x:v>
      </x:c>
      <x:c r="D63" s="4" t="str">
        <x:v>HIGH</x:v>
      </x:c>
      <x:c r="E63" s="4" t="str">
        <x:v>FALSE</x:v>
      </x:c>
      <x:c r="F63" s="5" t="n">
        <x:v>46240</x:v>
      </x:c>
      <x:c r="G63" s="6" t="str">
        <x:v>The source is 'Fourniture de tous matériels en lien avec l'informatique' while the candidate is 'Maitrise d'oeuvre (MOE) pour la restructuration du service informatique et la création d'une salle de prélèvement de cornée au Centre …'. The concrete functions/equipment are materially different; same buyer and broad digital/CPV similarity do not establish a renewal or relaunch.</x:v>
      </x:c>
      <x:c r="H63" t="inlineStr">
        <x:is>
          <x:t xml:space="preserve">21-99109</x:t>
        </x:is>
      </x:c>
      <x:c r="I63" t="inlineStr">
        <x:is>
          <x:t xml:space="preserve">22-2872</x:t>
        </x:is>
      </x:c>
      <x:c r="J63" t="inlineStr">
        <x:is>
          <x:t xml:space="preserve">22-2872</x:t>
        </x:is>
      </x:c>
      <x:c r="K63" t="inlineStr">
        <x:is>
          <x:t xml:space="preserve"/>
        </x:is>
      </x:c>
      <x:c r="L63" t="inlineStr">
        <x:is>
          <x:t xml:space="preserve">LINKED</x:t>
        </x:is>
      </x:c>
      <x:c r="M63" t="inlineStr">
        <x:is>
          <x:t xml:space="preserve">NOT_LINKED</x:t>
        </x:is>
      </x:c>
      <x:c r="N63" t="inlineStr">
        <x:is>
          <x:t xml:space="preserve">Centre Hospitalier de Laval (53)</x:t>
        </x:is>
      </x:c>
      <x:c r="O63" t="inlineStr">
        <x:is>
          <x:t xml:space="preserve">NAME_FALLBACK</x:t>
        </x:is>
      </x:c>
      <x:c r="P63" t="inlineStr">
        <x:is>
          <x:t xml:space="preserve">7</x:t>
        </x:is>
      </x:c>
      <x:c r="Q63" t="inlineStr">
        <x:is>
          <x:t xml:space="preserve">2021-07-18</x:t>
        </x:is>
      </x:c>
      <x:c r="R63" t="inlineStr">
        <x:is>
          <x:t xml:space="preserve">2022-01-06</x:t>
        </x:is>
      </x:c>
      <x:c r="S63" t="inlineStr">
        <x:is>
          <x:t xml:space="preserve">5.650459921156373</x:t>
        </x:is>
      </x:c>
      <x:c r="T63" t="inlineStr">
        <x:is>
          <x:t xml:space="preserve">30200000.0</x:t>
        </x:is>
      </x:c>
      <x:c r="U63" t="inlineStr">
        <x:is>
          <x:t xml:space="preserve">DIGITAL_ICT</x:t>
        </x:is>
      </x:c>
      <x:c r="V63" t="inlineStr">
        <x:is>
          <x:t xml:space="preserve">True</x:t>
        </x:is>
      </x:c>
      <x:c r="W63" t="inlineStr">
        <x:is>
          <x:t xml:space="preserve">0.0266967980399462</x:t>
        </x:is>
      </x:c>
      <x:c r="X63" t="inlineStr">
        <x:is>
          <x:t xml:space="preserve">0.1</x:t>
        </x:is>
      </x:c>
      <x:c r="Y63" t="inlineStr">
        <x:is>
          <x:t xml:space="preserve">0.6057818659658345</x:t>
        </x:is>
      </x:c>
      <x:c r="Z63" t="inlineStr">
        <x:is>
          <x:t xml:space="preserve">0.6</x:t>
        </x:is>
      </x:c>
      <x:c r="AA63" t="inlineStr">
        <x:is>
          <x:t xml:space="preserve">0.2507893458054397</x:t>
        </x:is>
      </x:c>
      <x:c r="AB63" t="inlineStr">
        <x:is>
          <x:t xml:space="preserve">0.247999903480474</x:t>
        </x:is>
      </x:c>
      <x:c r="AC63" t="inlineStr">
        <x:is>
          <x:t xml:space="preserve">0.2507893458054397</x:t>
        </x:is>
      </x:c>
      <x:c r="AD63" t="inlineStr">
        <x:is>
          <x:t xml:space="preserve">1</x:t>
        </x:is>
      </x:c>
      <x:c r="AE63" s="2" t="inlineStr">
        <x:is>
          <x:t xml:space="preserve">Fourniture de tous matériels en lien avec l'informatique</x:t>
        </x:is>
      </x:c>
      <x:c r="AF63" s="2" t="inlineStr">
        <x:is>
          <x:t xml:space="preserve">Maitrise d'oeuvre (MOE) pour la restructuration du service informatique et la création d'une salle de prélèvement de cornée au Centre Hospitalier de Laval</x:t>
        </x:is>
      </x:c>
      <x:c r="AG63" t="inlineStr">
        <x:is>
          <x:t xml:space="preserve">GBM_BORDERLINE_SCORE</x:t>
        </x:is>
      </x:c>
      <x:c r="AH63" t="inlineStr">
        <x:is>
          <x:t xml:space="preserve">primary_gbm@0.230964__baseline_composite@0.343167</x:t>
        </x:is>
      </x:c>
      <x:c r="AI63" t="inlineStr">
        <x:is>
          <x:t xml:space="preserve">real_boamp_layer1</x:t>
        </x:is>
      </x:c>
    </x:row>
    <x:row r="64" ht="48" customHeight="1">
      <x:c r="A64" s="4" t="inlineStr">
        <x:is>
          <x:t xml:space="preserve">AUDIT-063</x:t>
        </x:is>
      </x:c>
      <x:c r="B64" s="4" t="inlineStr">
        <x:is>
          <x:t xml:space="preserve">gbm_small_margin</x:t>
        </x:is>
      </x:c>
      <x:c r="C64" s="4" t="str">
        <x:v>WRONG_LINK</x:v>
      </x:c>
      <x:c r="D64" s="4" t="str">
        <x:v>HIGH</x:v>
      </x:c>
      <x:c r="E64" s="4" t="str">
        <x:v>FALSE</x:v>
      </x:c>
      <x:c r="F64" s="5" t="n">
        <x:v>46240</x:v>
      </x:c>
      <x:c r="G64" s="6" t="str">
        <x:v>The source is 'Fourniture, livraison et mise en service régulier d'un outil de gestion du temps de travail pour les agents du Département de la Sarth…' while the candidate is 'Acquisition et la mise en oeuvre d'une solution de dématérialisation des marchés publics y compris prestations associées (formation, a…'. The concrete functions/equipment are materially different; same buyer and broad digital/CPV similarity do not establish a renewal or relaunch.</x:v>
      </x:c>
      <x:c r="H64" t="inlineStr">
        <x:is>
          <x:t xml:space="preserve">17-74587</x:t>
        </x:is>
      </x:c>
      <x:c r="I64" t="inlineStr">
        <x:is>
          <x:t xml:space="preserve">18-21245</x:t>
        </x:is>
      </x:c>
      <x:c r="J64" t="inlineStr">
        <x:is>
          <x:t xml:space="preserve">18-21245</x:t>
        </x:is>
      </x:c>
      <x:c r="K64" t="inlineStr">
        <x:is>
          <x:t xml:space="preserve">17-157486</x:t>
        </x:is>
      </x:c>
      <x:c r="L64" t="inlineStr">
        <x:is>
          <x:t xml:space="preserve">LINKED</x:t>
        </x:is>
      </x:c>
      <x:c r="M64" t="inlineStr">
        <x:is>
          <x:t xml:space="preserve">LINKED</x:t>
        </x:is>
      </x:c>
      <x:c r="N64" t="inlineStr">
        <x:is>
          <x:t xml:space="preserve">Département de la Sarthe</x:t>
        </x:is>
      </x:c>
      <x:c r="O64" t="inlineStr">
        <x:is>
          <x:t xml:space="preserve">NAME_FALLBACK</x:t>
        </x:is>
      </x:c>
      <x:c r="P64" t="inlineStr">
        <x:is>
          <x:t xml:space="preserve">52</x:t>
        </x:is>
      </x:c>
      <x:c r="Q64" t="inlineStr">
        <x:is>
          <x:t xml:space="preserve">2017-05-29</x:t>
        </x:is>
      </x:c>
      <x:c r="R64" t="inlineStr">
        <x:is>
          <x:t xml:space="preserve">2018-02-14</x:t>
        </x:is>
      </x:c>
      <x:c r="S64" t="inlineStr">
        <x:is>
          <x:t xml:space="preserve">8.5742444152431</x:t>
        </x:is>
      </x:c>
      <x:c r="T64" t="inlineStr">
        <x:is>
          <x:t xml:space="preserve">72212450.0</x:t>
        </x:is>
      </x:c>
      <x:c r="U64" t="inlineStr">
        <x:is>
          <x:t xml:space="preserve">DIGITAL_ICT</x:t>
        </x:is>
      </x:c>
      <x:c r="V64" t="inlineStr">
        <x:is>
          <x:t xml:space="preserve">True</x:t>
        </x:is>
      </x:c>
      <x:c r="W64" t="inlineStr">
        <x:is>
          <x:t xml:space="preserve">0.1393021707271005</x:t>
        </x:is>
      </x:c>
      <x:c r="X64" t="inlineStr">
        <x:is>
          <x:t xml:space="preserve">0.8</x:t>
        </x:is>
      </x:c>
      <x:c r="Y64" t="inlineStr">
        <x:is>
          <x:t xml:space="preserve">0.5784056066579062</x:t>
        </x:is>
      </x:c>
      <x:c r="Z64" t="inlineStr">
        <x:is>
          <x:t xml:space="preserve">0.6</x:t>
        </x:is>
      </x:c>
      <x:c r="AA64" t="inlineStr">
        <x:is>
          <x:t xml:space="preserve">0.4933571614189617</x:t>
        </x:is>
      </x:c>
      <x:c r="AB64" t="inlineStr">
        <x:is>
          <x:t xml:space="preserve">0.8726010412688325</x:t>
        </x:is>
      </x:c>
      <x:c r="AC64" t="inlineStr">
        <x:is>
          <x:t xml:space="preserve">0.0044507392704189</x:t>
        </x:is>
      </x:c>
      <x:c r="AD64" t="inlineStr">
        <x:is>
          <x:t xml:space="preserve">5</x:t>
        </x:is>
      </x:c>
      <x:c r="AE64" s="2" t="inlineStr">
        <x:is>
          <x:t xml:space="preserve">Fourniture, livraison et mise en service régulier d'un outil de gestion du temps de travail pour les agents du Département de la Sarthe y compris prestations et maintenance associées</x:t>
        </x:is>
      </x:c>
      <x:c r="AF64" s="2" t="inlineStr">
        <x:is>
          <x:t xml:space="preserve">Acquisition et la mise en oeuvre d'une solution de dématérialisation des marchés publics y compris prestations associées (formation, assistance technique, maintenance)</x:t>
        </x:is>
      </x:c>
      <x:c r="AG64" t="inlineStr">
        <x:is>
          <x:t xml:space="preserve">GBM_SMALL_MARGIN</x:t>
        </x:is>
      </x:c>
      <x:c r="AH64" t="inlineStr">
        <x:is>
          <x:t xml:space="preserve">primary_gbm@0.230964__baseline_composite@0.343167</x:t>
        </x:is>
      </x:c>
      <x:c r="AI64" t="inlineStr">
        <x:is>
          <x:t xml:space="preserve">real_boamp_layer1</x:t>
        </x:is>
      </x:c>
    </x:row>
    <x:row r="65" ht="48" customHeight="1">
      <x:c r="A65" s="4" t="inlineStr">
        <x:is>
          <x:t xml:space="preserve">AUDIT-064</x:t>
        </x:is>
      </x:c>
      <x:c r="B65" s="4" t="inlineStr">
        <x:is>
          <x:t xml:space="preserve">gbm_small_margin</x:t>
        </x:is>
      </x:c>
      <x:c r="C65" s="4" t="str">
        <x:v>INSUFFICIENT_INFORMATION</x:v>
      </x:c>
      <x:c r="D65" s="4" t="str">
        <x:v>LOW</x:v>
      </x:c>
      <x:c r="E65" s="4" t="str">
        <x:v>TRUE</x:v>
      </x:c>
      <x:c r="F65" s="5" t="n">
        <x:v>46240</x:v>
      </x:c>
      <x:c r="G65" s="6" t="str">
        <x:v>The later multimodal information-and-sales platform includes a mobile application and could replace or absorb the TAN app, but it is much broader than the source TMA contract and begins while the 24-month TMA term could still be active. Public evidence is insufficient to decide.</x:v>
      </x:c>
      <x:c r="H65" t="inlineStr">
        <x:is>
          <x:t xml:space="preserve">22-104764</x:t>
        </x:is>
      </x:c>
      <x:c r="I65" t="inlineStr">
        <x:is>
          <x:t xml:space="preserve">23-48532</x:t>
        </x:is>
      </x:c>
      <x:c r="J65" t="inlineStr">
        <x:is>
          <x:t xml:space="preserve">23-48532</x:t>
        </x:is>
      </x:c>
      <x:c r="K65" t="inlineStr">
        <x:is>
          <x:t xml:space="preserve">23-74653</x:t>
        </x:is>
      </x:c>
      <x:c r="L65" t="inlineStr">
        <x:is>
          <x:t xml:space="preserve">LINKED</x:t>
        </x:is>
      </x:c>
      <x:c r="M65" t="inlineStr">
        <x:is>
          <x:t xml:space="preserve">LINKED</x:t>
        </x:is>
      </x:c>
      <x:c r="N65" t="inlineStr">
        <x:is>
          <x:t xml:space="preserve">SEMITAN</x:t>
        </x:is>
      </x:c>
      <x:c r="O65" t="inlineStr">
        <x:is>
          <x:t xml:space="preserve">NAME_FALLBACK</x:t>
        </x:is>
      </x:c>
      <x:c r="P65" t="inlineStr">
        <x:is>
          <x:t xml:space="preserve">30</x:t>
        </x:is>
      </x:c>
      <x:c r="Q65" t="inlineStr">
        <x:is>
          <x:t xml:space="preserve">2022-07-29</x:t>
        </x:is>
      </x:c>
      <x:c r="R65" t="inlineStr">
        <x:is>
          <x:t xml:space="preserve">2023-04-14</x:t>
        </x:is>
      </x:c>
      <x:c r="S65" t="inlineStr">
        <x:is>
          <x:t xml:space="preserve">8.508541392904073</x:t>
        </x:is>
      </x:c>
      <x:c r="T65" t="inlineStr">
        <x:is>
          <x:t xml:space="preserve">72212900.0</x:t>
        </x:is>
      </x:c>
      <x:c r="U65" t="inlineStr">
        <x:is>
          <x:t xml:space="preserve">DIGITAL_ICT</x:t>
        </x:is>
      </x:c>
      <x:c r="V65" t="inlineStr">
        <x:is>
          <x:t xml:space="preserve">True</x:t>
        </x:is>
      </x:c>
      <x:c r="W65" t="inlineStr">
        <x:is>
          <x:t xml:space="preserve">0.0099458792024762</x:t>
        </x:is>
      </x:c>
      <x:c r="X65" t="inlineStr">
        <x:is>
          <x:t xml:space="preserve">1.0</x:t>
        </x:is>
      </x:c>
      <x:c r="Y65" t="inlineStr">
        <x:is>
          <x:t xml:space="preserve">0.6933858957512046</x:t>
        </x:is>
      </x:c>
      <x:c r="Z65" t="inlineStr">
        <x:is>
          <x:t xml:space="preserve">0.6</x:t>
        </x:is>
      </x:c>
      <x:c r="AA65" t="inlineStr">
        <x:is>
          <x:t xml:space="preserve">0.5368275316586679</x:t>
        </x:is>
      </x:c>
      <x:c r="AB65" t="inlineStr">
        <x:is>
          <x:t xml:space="preserve">0.943388483249952</x:t>
        </x:is>
      </x:c>
      <x:c r="AC65" t="inlineStr">
        <x:is>
          <x:t xml:space="preserve">0.0043484427383972</x:t>
        </x:is>
      </x:c>
      <x:c r="AD65" t="inlineStr">
        <x:is>
          <x:t xml:space="preserve">4</x:t>
        </x:is>
      </x:c>
      <x:c r="AE65" s="2" t="inlineStr">
        <x:is>
          <x:t xml:space="preserve">Accord-cadre relatif à de la tierce maintenance applicative (TMA) sur l'application mobile TAN</x:t>
        </x:is>
      </x:c>
      <x:c r="AF65" s="2" t="inlineStr">
        <x:is>
          <x:t xml:space="preserve">Conception, développement, hébergement et maintenance d'une solution numérique d'information et de vente multimodale</x:t>
        </x:is>
      </x:c>
      <x:c r="AG65" t="inlineStr">
        <x:is>
          <x:t xml:space="preserve">GBM_SMALL_MARGIN</x:t>
        </x:is>
      </x:c>
      <x:c r="AH65" t="inlineStr">
        <x:is>
          <x:t xml:space="preserve">primary_gbm@0.230964__baseline_composite@0.343167</x:t>
        </x:is>
      </x:c>
      <x:c r="AI65" t="inlineStr">
        <x:is>
          <x:t xml:space="preserve">real_boamp_layer1</x:t>
        </x:is>
      </x:c>
    </x:row>
    <x:row r="66" ht="48" customHeight="1">
      <x:c r="A66" s="4" t="inlineStr">
        <x:is>
          <x:t xml:space="preserve">AUDIT-065</x:t>
        </x:is>
      </x:c>
      <x:c r="B66" s="4" t="inlineStr">
        <x:is>
          <x:t xml:space="preserve">gbm_small_margin</x:t>
        </x:is>
      </x:c>
      <x:c r="C66" s="4" t="str">
        <x:v>WRONG_LINK</x:v>
      </x:c>
      <x:c r="D66" s="4" t="str">
        <x:v>HIGH</x:v>
      </x:c>
      <x:c r="E66" s="4" t="str">
        <x:v>FALSE</x:v>
      </x:c>
      <x:c r="F66" s="5" t="n">
        <x:v>46240</x:v>
      </x:c>
      <x:c r="G66" s="6" t="str">
        <x:v>The source is a rectifying notice for extinguishers; the candidate is spare parts for MSA breathing apparatus. These are different safety-equipment needs.</x:v>
      </x:c>
      <x:c r="H66" t="inlineStr">
        <x:is>
          <x:t xml:space="preserve">19-131601</x:t>
        </x:is>
      </x:c>
      <x:c r="I66" t="inlineStr">
        <x:is>
          <x:t xml:space="preserve">19-131092</x:t>
        </x:is>
      </x:c>
      <x:c r="J66" t="inlineStr">
        <x:is>
          <x:t xml:space="preserve">19-131092</x:t>
        </x:is>
      </x:c>
      <x:c r="K66" t="inlineStr">
        <x:is>
          <x:t xml:space="preserve">20-67439</x:t>
        </x:is>
      </x:c>
      <x:c r="L66" t="inlineStr">
        <x:is>
          <x:t xml:space="preserve">LINKED</x:t>
        </x:is>
      </x:c>
      <x:c r="M66" t="inlineStr">
        <x:is>
          <x:t xml:space="preserve">LINKED</x:t>
        </x:is>
      </x:c>
      <x:c r="N66" t="inlineStr">
        <x:is>
          <x:t xml:space="preserve">SDIS 44</x:t>
        </x:is>
      </x:c>
      <x:c r="O66" t="inlineStr">
        <x:is>
          <x:t xml:space="preserve">NAME_FALLBACK</x:t>
        </x:is>
      </x:c>
      <x:c r="P66" t="inlineStr">
        <x:is>
          <x:t xml:space="preserve">27</x:t>
        </x:is>
      </x:c>
      <x:c r="Q66" t="inlineStr">
        <x:is>
          <x:t xml:space="preserve">2019-08-29</x:t>
        </x:is>
      </x:c>
      <x:c r="R66" t="inlineStr">
        <x:is>
          <x:t xml:space="preserve">2019-08-30</x:t>
        </x:is>
      </x:c>
      <x:c r="S66" t="inlineStr">
        <x:is>
          <x:t xml:space="preserve">0.0328515111695138</x:t>
        </x:is>
      </x:c>
      <x:c r="T66" t="inlineStr">
        <x:is>
          <x:t xml:space="preserve">35111320.0</x:t>
        </x:is>
      </x:c>
      <x:c r="U66" t="inlineStr">
        <x:is>
          <x:t xml:space="preserve">DIGITAL_ICT</x:t>
        </x:is>
      </x:c>
      <x:c r="V66" t="inlineStr">
        <x:is>
          <x:t xml:space="preserve">True</x:t>
        </x:is>
      </x:c>
      <x:c r="W66" t="inlineStr">
        <x:is>
          <x:t xml:space="preserve">0.2303667943525437</x:t>
        </x:is>
      </x:c>
      <x:c r="X66" t="inlineStr">
        <x:is>
          <x:t xml:space="preserve">0.8</x:t>
        </x:is>
      </x:c>
      <x:c r="Y66" t="inlineStr">
        <x:is>
          <x:t xml:space="preserve">0.1677617170389838</x:t>
        </x:is>
      </x:c>
      <x:c r="Z66" t="inlineStr">
        <x:is>
          <x:t xml:space="preserve">0.6</x:t>
        </x:is>
      </x:c>
      <x:c r="AA66" t="inlineStr">
        <x:is>
          <x:t xml:space="preserve">0.4225688072831362</x:t>
        </x:is>
      </x:c>
      <x:c r="AB66" t="inlineStr">
        <x:is>
          <x:t xml:space="preserve">0.3944234758065912</x:t>
        </x:is>
      </x:c>
      <x:c r="AC66" t="inlineStr">
        <x:is>
          <x:t xml:space="preserve">0.0374901167670113</x:t>
        </x:is>
      </x:c>
      <x:c r="AD66" t="inlineStr">
        <x:is>
          <x:t xml:space="preserve">4</x:t>
        </x:is>
      </x:c>
      <x:c r="AE66" s="2" t="inlineStr">
        <x:is>
          <x:t xml:space="preserve">Fourniture d'extincteurs, de consommables, de pièces détachées, d'accessoires et de prestations associées</x:t>
        </x:is>
      </x:c>
      <x:c r="AF66" s="2" t="inlineStr">
        <x:is>
          <x:t xml:space="preserve">Fourniture de pièces détachées pour réaliser la maintenance en régie des appareils de protection respiratoire de marque MSA</x:t>
        </x:is>
      </x:c>
      <x:c r="AG66" t="inlineStr">
        <x:is>
          <x:t xml:space="preserve">GBM_SMALL_MARGIN</x:t>
        </x:is>
      </x:c>
      <x:c r="AH66" t="inlineStr">
        <x:is>
          <x:t xml:space="preserve">primary_gbm@0.230964__baseline_composite@0.343167</x:t>
        </x:is>
      </x:c>
      <x:c r="AI66" t="inlineStr">
        <x:is>
          <x:t xml:space="preserve">real_boamp_layer1</x:t>
        </x:is>
      </x:c>
    </x:row>
    <x:row r="67" ht="48" customHeight="1">
      <x:c r="A67" s="4" t="inlineStr">
        <x:is>
          <x:t xml:space="preserve">AUDIT-066</x:t>
        </x:is>
      </x:c>
      <x:c r="B67" s="4" t="inlineStr">
        <x:is>
          <x:t xml:space="preserve">gbm_small_margin</x:t>
        </x:is>
      </x:c>
      <x:c r="C67" s="4" t="str">
        <x:v>WRONG_LINK</x:v>
      </x:c>
      <x:c r="D67" s="4" t="str">
        <x:v>MEDIUM</x:v>
      </x:c>
      <x:c r="E67" s="4" t="str">
        <x:v>TRUE</x:v>
      </x:c>
      <x:c r="F67" s="5" t="n">
        <x:v>46240</x:v>
      </x:c>
      <x:c r="G67" s="6" t="str">
        <x:v>The source is 'Hébergement et infogérance de la solution de gestion de dossiers électronique de l'inventaire' while the candidate is 'Prestation d'assistance sur le système d'information décisionnel, l'open data et l'alimentation et la gestion des bases de données'. The concrete functions/equipment are materially different; same buyer and broad digital/CPV similarity do not establish a renewal or relaunch.</x:v>
      </x:c>
      <x:c r="H67" t="inlineStr">
        <x:is>
          <x:t xml:space="preserve">17-171316</x:t>
        </x:is>
      </x:c>
      <x:c r="I67" t="inlineStr">
        <x:is>
          <x:t xml:space="preserve">18-79401</x:t>
        </x:is>
      </x:c>
      <x:c r="J67" t="inlineStr">
        <x:is>
          <x:t xml:space="preserve">18-79401</x:t>
        </x:is>
      </x:c>
      <x:c r="K67" t="inlineStr">
        <x:is>
          <x:t xml:space="preserve">18-150422</x:t>
        </x:is>
      </x:c>
      <x:c r="L67" t="inlineStr">
        <x:is>
          <x:t xml:space="preserve">LINKED</x:t>
        </x:is>
      </x:c>
      <x:c r="M67" t="inlineStr">
        <x:is>
          <x:t xml:space="preserve">LINKED</x:t>
        </x:is>
      </x:c>
      <x:c r="N67" t="inlineStr">
        <x:is>
          <x:t xml:space="preserve">Conseil régional des Pays de la Loire</x:t>
        </x:is>
      </x:c>
      <x:c r="O67" t="inlineStr">
        <x:is>
          <x:t xml:space="preserve">RAW_SIRET</x:t>
        </x:is>
      </x:c>
      <x:c r="P67" t="inlineStr">
        <x:is>
          <x:t xml:space="preserve">85</x:t>
        </x:is>
      </x:c>
      <x:c r="Q67" t="inlineStr">
        <x:is>
          <x:t xml:space="preserve">2017-12-07</x:t>
        </x:is>
      </x:c>
      <x:c r="R67" t="inlineStr">
        <x:is>
          <x:t xml:space="preserve">2018-06-10</x:t>
        </x:is>
      </x:c>
      <x:c r="S67" t="inlineStr">
        <x:is>
          <x:t xml:space="preserve">6.077529566360052</x:t>
        </x:is>
      </x:c>
      <x:c r="T67" t="inlineStr">
        <x:is>
          <x:t xml:space="preserve">72250000.0</x:t>
        </x:is>
      </x:c>
      <x:c r="U67" t="inlineStr">
        <x:is>
          <x:t xml:space="preserve">DIGITAL_ICT</x:t>
        </x:is>
      </x:c>
      <x:c r="V67" t="inlineStr">
        <x:is>
          <x:t xml:space="preserve">True</x:t>
        </x:is>
      </x:c>
      <x:c r="W67" t="inlineStr">
        <x:is>
          <x:t xml:space="preserve">0.0302189100503142</x:t>
        </x:is>
      </x:c>
      <x:c r="X67" t="inlineStr">
        <x:is>
          <x:t xml:space="preserve">1.0</x:t>
        </x:is>
      </x:c>
      <x:c r="Y67" t="inlineStr">
        <x:is>
          <x:t xml:space="preserve">0.2060884800700831</x:t>
        </x:is>
      </x:c>
      <x:c r="Z67" t="inlineStr">
        <x:is>
          <x:t xml:space="preserve">1.0</x:t>
        </x:is>
      </x:c>
      <x:c r="AA67" t="inlineStr">
        <x:is>
          <x:t xml:space="preserve">0.4620987385351307</x:t>
        </x:is>
      </x:c>
      <x:c r="AB67" t="inlineStr">
        <x:is>
          <x:t xml:space="preserve">0.9307320585042456</x:t>
        </x:is>
      </x:c>
      <x:c r="AC67" t="inlineStr">
        <x:is>
          <x:t xml:space="preserve">0.0121683251053774</x:t>
        </x:is>
      </x:c>
      <x:c r="AD67" t="inlineStr">
        <x:is>
          <x:t xml:space="preserve">7</x:t>
        </x:is>
      </x:c>
      <x:c r="AE67" s="2" t="inlineStr">
        <x:is>
          <x:t xml:space="preserve">Hébergement et infogérance de la solution de gestion de dossiers électronique de l'inventaire</x:t>
        </x:is>
      </x:c>
      <x:c r="AF67" s="2" t="inlineStr">
        <x:is>
          <x:t xml:space="preserve">Prestation d'assistance sur le système d'information décisionnel, l'open data et l'alimentation et la gestion des bases de données</x:t>
        </x:is>
      </x:c>
      <x:c r="AG67" t="inlineStr">
        <x:is>
          <x:t xml:space="preserve">GBM_SMALL_MARGIN</x:t>
        </x:is>
      </x:c>
      <x:c r="AH67" t="inlineStr">
        <x:is>
          <x:t xml:space="preserve">primary_gbm@0.230964__baseline_composite@0.343167</x:t>
        </x:is>
      </x:c>
      <x:c r="AI67" t="inlineStr">
        <x:is>
          <x:t xml:space="preserve">real_boamp_layer1</x:t>
        </x:is>
      </x:c>
    </x:row>
    <x:row r="68" ht="48" customHeight="1">
      <x:c r="A68" s="4" t="inlineStr">
        <x:is>
          <x:t xml:space="preserve">AUDIT-067</x:t>
        </x:is>
      </x:c>
      <x:c r="B68" s="4" t="inlineStr">
        <x:is>
          <x:t xml:space="preserve">gbm_small_margin</x:t>
        </x:is>
      </x:c>
      <x:c r="C68" s="4" t="str">
        <x:v>WRONG_LINK</x:v>
      </x:c>
      <x:c r="D68" s="4" t="str">
        <x:v>HIGH</x:v>
      </x:c>
      <x:c r="E68" s="4" t="str">
        <x:v>FALSE</x:v>
      </x:c>
      <x:c r="F68" s="5" t="n">
        <x:v>46240</x:v>
      </x:c>
      <x:c r="G68" s="6" t="str">
        <x:v>The source is 'Mise en place d'une plateforme web pour le recueil et la pré-instruction des demandes d'aide aux pratiques culturelles et sportives da…' while the candidate is 'Mise en oeuvre d'un outil de Learning management system (Lms) et prestations associées'. The concrete functions/equipment are materially different; same buyer and broad digital/CPV similarity do not establish a renewal or relaunch.</x:v>
      </x:c>
      <x:c r="H68" t="inlineStr">
        <x:is>
          <x:t xml:space="preserve">22-39639</x:t>
        </x:is>
      </x:c>
      <x:c r="I68" t="inlineStr">
        <x:is>
          <x:t xml:space="preserve">22-123803</x:t>
        </x:is>
      </x:c>
      <x:c r="J68" t="inlineStr">
        <x:is>
          <x:t xml:space="preserve">22-123803</x:t>
        </x:is>
      </x:c>
      <x:c r="K68" t="inlineStr">
        <x:is>
          <x:t xml:space="preserve">22-123803</x:t>
        </x:is>
      </x:c>
      <x:c r="L68" t="inlineStr">
        <x:is>
          <x:t xml:space="preserve">LINKED</x:t>
        </x:is>
      </x:c>
      <x:c r="M68" t="inlineStr">
        <x:is>
          <x:t xml:space="preserve">LINKED</x:t>
        </x:is>
      </x:c>
      <x:c r="N68" t="inlineStr">
        <x:is>
          <x:t xml:space="preserve">DEPARTEMENT DE LA MAYENNE</x:t>
        </x:is>
      </x:c>
      <x:c r="O68" t="inlineStr">
        <x:is>
          <x:t xml:space="preserve">RAW_SIRET</x:t>
        </x:is>
      </x:c>
      <x:c r="P68" t="inlineStr">
        <x:is>
          <x:t xml:space="preserve">21</x:t>
        </x:is>
      </x:c>
      <x:c r="Q68" t="inlineStr">
        <x:is>
          <x:t xml:space="preserve">2022-03-17</x:t>
        </x:is>
      </x:c>
      <x:c r="R68" t="inlineStr">
        <x:is>
          <x:t xml:space="preserve">2022-09-15</x:t>
        </x:is>
      </x:c>
      <x:c r="S68" t="inlineStr">
        <x:is>
          <x:t xml:space="preserve">5.978975032851511</x:t>
        </x:is>
      </x:c>
      <x:c r="T68" t="inlineStr">
        <x:is>
          <x:t xml:space="preserve">72212517.0</x:t>
        </x:is>
      </x:c>
      <x:c r="U68" t="inlineStr">
        <x:is>
          <x:t xml:space="preserve">DIGITAL_ICT</x:t>
        </x:is>
      </x:c>
      <x:c r="V68" t="inlineStr">
        <x:is>
          <x:t xml:space="preserve">True</x:t>
        </x:is>
      </x:c>
      <x:c r="W68" t="inlineStr">
        <x:is>
          <x:t xml:space="preserve">0.0271349453601687</x:t>
        </x:is>
      </x:c>
      <x:c r="X68" t="inlineStr">
        <x:is>
          <x:t xml:space="preserve">0.8</x:t>
        </x:is>
      </x:c>
      <x:c r="Y68" t="inlineStr">
        <x:is>
          <x:t xml:space="preserve">0.9890494962768288</x:t>
        </x:is>
      </x:c>
      <x:c r="Z68" t="inlineStr">
        <x:is>
          <x:t xml:space="preserve">1.0</x:t>
        </x:is>
      </x:c>
      <x:c r="AA68" t="inlineStr">
        <x:is>
          <x:t xml:space="preserve">0.5967596049452663</x:t>
        </x:is>
      </x:c>
      <x:c r="AB68" t="inlineStr">
        <x:is>
          <x:t xml:space="preserve">0.8752144233271258</x:t>
        </x:is>
      </x:c>
      <x:c r="AC68" t="inlineStr">
        <x:is>
          <x:t xml:space="preserve">0.0171878228463553</x:t>
        </x:is>
      </x:c>
      <x:c r="AD68" t="inlineStr">
        <x:is>
          <x:t xml:space="preserve">7</x:t>
        </x:is>
      </x:c>
      <x:c r="AE68" s="2" t="inlineStr">
        <x:is>
          <x:t xml:space="preserve">Mise en place d'une plateforme web pour le recueil et la pré-instruction des demandes d'aide aux pratiques culturelles et sportives dans le cadre de l'opération Génération Mayenne</x:t>
        </x:is>
      </x:c>
      <x:c r="AF68" s="2" t="inlineStr">
        <x:is>
          <x:t xml:space="preserve">Mise en oeuvre d'un outil de Learning management system (Lms) et prestations associées</x:t>
        </x:is>
      </x:c>
      <x:c r="AG68" t="inlineStr">
        <x:is>
          <x:t xml:space="preserve">GBM_SMALL_MARGIN</x:t>
        </x:is>
      </x:c>
      <x:c r="AH68" t="inlineStr">
        <x:is>
          <x:t xml:space="preserve">primary_gbm@0.230964__baseline_composite@0.343167</x:t>
        </x:is>
      </x:c>
      <x:c r="AI68" t="inlineStr">
        <x:is>
          <x:t xml:space="preserve">real_boamp_layer1</x:t>
        </x:is>
      </x:c>
    </x:row>
    <x:row r="69" ht="48" customHeight="1">
      <x:c r="A69" s="4" t="inlineStr">
        <x:is>
          <x:t xml:space="preserve">AUDIT-068</x:t>
        </x:is>
      </x:c>
      <x:c r="B69" s="4" t="inlineStr">
        <x:is>
          <x:t xml:space="preserve">gbm_small_margin</x:t>
        </x:is>
      </x:c>
      <x:c r="C69" s="4" t="str">
        <x:v>WRONG_LINK</x:v>
      </x:c>
      <x:c r="D69" s="4" t="str">
        <x:v>HIGH</x:v>
      </x:c>
      <x:c r="E69" s="4" t="str">
        <x:v>FALSE</x:v>
      </x:c>
      <x:c r="F69" s="5" t="n">
        <x:v>46240</x:v>
      </x:c>
      <x:c r="G69" s="6" t="str">
        <x:v>The reviewed candidate is parking-payment software, not Evidian identity-and-access management. The other algorithm's candidate is only the official rectificatif of the source and is also not a renewal.</x:v>
      </x:c>
      <x:c r="H69" t="inlineStr">
        <x:is>
          <x:t xml:space="preserve">16-57562</x:t>
        </x:is>
      </x:c>
      <x:c r="I69" t="inlineStr">
        <x:is>
          <x:t xml:space="preserve">16-70219</x:t>
        </x:is>
      </x:c>
      <x:c r="J69" t="inlineStr">
        <x:is>
          <x:t xml:space="preserve">16-70219</x:t>
        </x:is>
      </x:c>
      <x:c r="K69" t="inlineStr">
        <x:is>
          <x:t xml:space="preserve">16-70307</x:t>
        </x:is>
      </x:c>
      <x:c r="L69" t="inlineStr">
        <x:is>
          <x:t xml:space="preserve">LINKED</x:t>
        </x:is>
      </x:c>
      <x:c r="M69" t="inlineStr">
        <x:is>
          <x:t xml:space="preserve">LINKED</x:t>
        </x:is>
      </x:c>
      <x:c r="N69" t="inlineStr">
        <x:is>
          <x:t xml:space="preserve">Angers Loire Métropole</x:t>
        </x:is>
      </x:c>
      <x:c r="O69" t="inlineStr">
        <x:is>
          <x:t xml:space="preserve">NAME_FALLBACK</x:t>
        </x:is>
      </x:c>
      <x:c r="P69" t="inlineStr">
        <x:is>
          <x:t xml:space="preserve">61</x:t>
        </x:is>
      </x:c>
      <x:c r="Q69" t="inlineStr">
        <x:is>
          <x:t xml:space="preserve">2016-04-25</x:t>
        </x:is>
      </x:c>
      <x:c r="R69" t="inlineStr">
        <x:is>
          <x:t xml:space="preserve">2016-05-17</x:t>
        </x:is>
      </x:c>
      <x:c r="S69" t="inlineStr">
        <x:is>
          <x:t xml:space="preserve">0.7227332457293035</x:t>
        </x:is>
      </x:c>
      <x:c r="T69" t="inlineStr">
        <x:is>
          <x:t xml:space="preserve">72267100.0</x:t>
        </x:is>
      </x:c>
      <x:c r="U69" t="inlineStr">
        <x:is>
          <x:t xml:space="preserve">DIGITAL_ICT</x:t>
        </x:is>
      </x:c>
      <x:c r="V69" t="inlineStr">
        <x:is>
          <x:t xml:space="preserve">True</x:t>
        </x:is>
      </x:c>
      <x:c r="W69" t="inlineStr">
        <x:is>
          <x:t xml:space="preserve">0.1126273011757576</x:t>
        </x:is>
      </x:c>
      <x:c r="X69" t="inlineStr">
        <x:is>
          <x:t xml:space="preserve">1.0</x:t>
        </x:is>
      </x:c>
      <x:c r="Y69" t="inlineStr">
        <x:is>
          <x:t xml:space="preserve">0.1184844502847131</x:t>
        </x:is>
      </x:c>
      <x:c r="Z69" t="inlineStr">
        <x:is>
          <x:t xml:space="preserve">0.6</x:t>
        </x:is>
      </x:c>
      <x:c r="AA69" t="inlineStr">
        <x:is>
          <x:t xml:space="preserve">0.4290406679826934</x:t>
        </x:is>
      </x:c>
      <x:c r="AB69" t="inlineStr">
        <x:is>
          <x:t xml:space="preserve">0.7449949192300906</x:t>
        </x:is>
      </x:c>
      <x:c r="AC69" t="inlineStr">
        <x:is>
          <x:t xml:space="preserve">0.025890844372781</x:t>
        </x:is>
      </x:c>
      <x:c r="AD69" t="inlineStr">
        <x:is>
          <x:t xml:space="preserve">10</x:t>
        </x:is>
      </x:c>
      <x:c r="AE69" s="2" t="inlineStr">
        <x:is>
          <x:t xml:space="preserve">Maintenance et prestations associées à la suite logicielle Evidian Identity And Acces Management à Angers</x:t>
        </x:is>
      </x:c>
      <x:c r="AF69" s="2" t="inlineStr">
        <x:is>
          <x:t xml:space="preserve">Acquisition, maintenance et prestations associées d'une solution de paiement dématérialisé du stationnement payant sur voirie à Angers</x:t>
        </x:is>
      </x:c>
      <x:c r="AG69" t="inlineStr">
        <x:is>
          <x:t xml:space="preserve">GBM_SMALL_MARGIN</x:t>
        </x:is>
      </x:c>
      <x:c r="AH69" t="inlineStr">
        <x:is>
          <x:t xml:space="preserve">primary_gbm@0.230964__baseline_composite@0.343167</x:t>
        </x:is>
      </x:c>
      <x:c r="AI69" t="inlineStr">
        <x:is>
          <x:t xml:space="preserve">real_boamp_layer1</x:t>
        </x:is>
      </x:c>
    </x:row>
    <x:row r="70" ht="48" customHeight="1">
      <x:c r="A70" s="4" t="inlineStr">
        <x:is>
          <x:t xml:space="preserve">AUDIT-069</x:t>
        </x:is>
      </x:c>
      <x:c r="B70" s="4" t="inlineStr">
        <x:is>
          <x:t xml:space="preserve">gbm_small_margin</x:t>
        </x:is>
      </x:c>
      <x:c r="C70" s="4" t="str">
        <x:v>WRONG_LINK</x:v>
      </x:c>
      <x:c r="D70" s="4" t="str">
        <x:v>HIGH</x:v>
      </x:c>
      <x:c r="E70" s="4" t="str">
        <x:v>FALSE</x:v>
      </x:c>
      <x:c r="F70" s="5" t="n">
        <x:v>46240</x:v>
      </x:c>
      <x:c r="G70" s="6" t="str">
        <x:v>The source is 'Fourniture de matériels et logiciels à la plateforme CAPLAB -Relance' while the candidate is 'Acquisition de produits pour la certification en langue TOEIC pour les étudiants et personnels de l’ENSAM'. The concrete functions/equipment are materially different; same buyer and broad digital/CPV similarity do not establish a renewal or relaunch.</x:v>
      </x:c>
      <x:c r="H70" t="inlineStr">
        <x:is>
          <x:t xml:space="preserve">25-76566</x:t>
        </x:is>
      </x:c>
      <x:c r="I70" t="inlineStr">
        <x:is>
          <x:t xml:space="preserve">25-135765</x:t>
        </x:is>
      </x:c>
      <x:c r="J70" t="inlineStr">
        <x:is>
          <x:t xml:space="preserve">25-135765</x:t>
        </x:is>
      </x:c>
      <x:c r="K70" t="inlineStr">
        <x:is>
          <x:t xml:space="preserve">25-113007</x:t>
        </x:is>
      </x:c>
      <x:c r="L70" t="inlineStr">
        <x:is>
          <x:t xml:space="preserve">LINKED</x:t>
        </x:is>
      </x:c>
      <x:c r="M70" t="inlineStr">
        <x:is>
          <x:t xml:space="preserve">LINKED</x:t>
        </x:is>
      </x:c>
      <x:c r="N70" t="inlineStr">
        <x:is>
          <x:t xml:space="preserve">Ecole Nationale Supérieure d'Arts et Métiers</x:t>
        </x:is>
      </x:c>
      <x:c r="O70" t="inlineStr">
        <x:is>
          <x:t xml:space="preserve">RAW_SIRET</x:t>
        </x:is>
      </x:c>
      <x:c r="P70" t="inlineStr">
        <x:is>
          <x:t xml:space="preserve">8</x:t>
        </x:is>
      </x:c>
      <x:c r="Q70" t="inlineStr">
        <x:is>
          <x:t xml:space="preserve">2025-07-08</x:t>
        </x:is>
      </x:c>
      <x:c r="R70" t="inlineStr">
        <x:is>
          <x:t xml:space="preserve">2025-12-11</x:t>
        </x:is>
      </x:c>
      <x:c r="S70" t="inlineStr">
        <x:is>
          <x:t xml:space="preserve">5.124835742444152</x:t>
        </x:is>
      </x:c>
      <x:c r="T70" t="inlineStr">
        <x:is>
          <x:t xml:space="preserve">48190000.0</x:t>
        </x:is>
      </x:c>
      <x:c r="U70" t="inlineStr">
        <x:is>
          <x:t xml:space="preserve">DIGITAL_ICT</x:t>
        </x:is>
      </x:c>
      <x:c r="V70" t="inlineStr">
        <x:is>
          <x:t xml:space="preserve">False</x:t>
        </x:is>
      </x:c>
      <x:c r="W70" t="inlineStr">
        <x:is>
          <x:t xml:space="preserve">0.018283684258141</x:t>
        </x:is>
      </x:c>
      <x:c r="X70" t="inlineStr">
        <x:is>
          <x:t xml:space="preserve">1.0</x:t>
        </x:is>
      </x:c>
      <x:c r="Y70" t="inlineStr">
        <x:is>
          <x:t xml:space="preserve">0.8193166885676741</x:t>
        </x:is>
      </x:c>
      <x:c r="Z70" t="inlineStr">
        <x:is>
          <x:t xml:space="preserve">1.0</x:t>
        </x:is>
      </x:c>
      <x:c r="AA70" t="inlineStr">
        <x:is>
          <x:t xml:space="preserve">0.6112284616322678</x:t>
        </x:is>
      </x:c>
      <x:c r="AB70" t="inlineStr">
        <x:is>
          <x:t xml:space="preserve">0.9503875355756431</x:t>
        </x:is>
      </x:c>
      <x:c r="AC70" t="inlineStr">
        <x:is>
          <x:t xml:space="preserve">0.0013217577086166</x:t>
        </x:is>
      </x:c>
      <x:c r="AD70" t="inlineStr">
        <x:is>
          <x:t xml:space="preserve">5</x:t>
        </x:is>
      </x:c>
      <x:c r="AE70" s="2" t="inlineStr">
        <x:is>
          <x:t xml:space="preserve">Fourniture de matériels et logiciels à la plateforme CAPLAB -Relance</x:t>
        </x:is>
      </x:c>
      <x:c r="AF70" s="2" t="inlineStr">
        <x:is>
          <x:t xml:space="preserve">Acquisition de produits pour la certification en langue TOEIC pour les étudiants et personnels de l’ENSAM</x:t>
        </x:is>
      </x:c>
      <x:c r="AG70" t="inlineStr">
        <x:is>
          <x:t xml:space="preserve">GBM_SMALL_MARGIN</x:t>
        </x:is>
      </x:c>
      <x:c r="AH70" t="inlineStr">
        <x:is>
          <x:t xml:space="preserve">primary_gbm@0.230964__baseline_composite@0.343167</x:t>
        </x:is>
      </x:c>
      <x:c r="AI70" t="inlineStr">
        <x:is>
          <x:t xml:space="preserve">real_boamp_layer1</x:t>
        </x:is>
      </x:c>
    </x:row>
    <x:row r="71" ht="48" customHeight="1">
      <x:c r="A71" s="4" t="inlineStr">
        <x:is>
          <x:t xml:space="preserve">AUDIT-070</x:t>
        </x:is>
      </x:c>
      <x:c r="B71" s="4" t="inlineStr">
        <x:is>
          <x:t xml:space="preserve">gbm_small_margin</x:t>
        </x:is>
      </x:c>
      <x:c r="C71" s="4" t="str">
        <x:v>WRONG_LINK</x:v>
      </x:c>
      <x:c r="D71" s="4" t="str">
        <x:v>HIGH</x:v>
      </x:c>
      <x:c r="E71" s="4" t="str">
        <x:v>FALSE</x:v>
      </x:c>
      <x:c r="F71" s="5" t="n">
        <x:v>46240</x:v>
      </x:c>
      <x:c r="G71" s="6" t="str">
        <x:v>The candidate is an official RECTIFICATIF linked to the source radiopharmacy notice, not a new procurement or renewal.</x:v>
      </x:c>
      <x:c r="H71" t="inlineStr">
        <x:is>
          <x:t xml:space="preserve">15-169809</x:t>
        </x:is>
      </x:c>
      <x:c r="I71" t="inlineStr">
        <x:is>
          <x:t xml:space="preserve">15-182957</x:t>
        </x:is>
      </x:c>
      <x:c r="J71" t="inlineStr">
        <x:is>
          <x:t xml:space="preserve">15-182957</x:t>
        </x:is>
      </x:c>
      <x:c r="K71" t="inlineStr">
        <x:is>
          <x:t xml:space="preserve">15-182957</x:t>
        </x:is>
      </x:c>
      <x:c r="L71" t="inlineStr">
        <x:is>
          <x:t xml:space="preserve">LINKED</x:t>
        </x:is>
      </x:c>
      <x:c r="M71" t="inlineStr">
        <x:is>
          <x:t xml:space="preserve">LINKED</x:t>
        </x:is>
      </x:c>
      <x:c r="N71" t="inlineStr">
        <x:is>
          <x:t xml:space="preserve">CHU de Nantes</x:t>
        </x:is>
      </x:c>
      <x:c r="O71" t="inlineStr">
        <x:is>
          <x:t xml:space="preserve">NAME_FALLBACK</x:t>
        </x:is>
      </x:c>
      <x:c r="P71" t="inlineStr">
        <x:is>
          <x:t xml:space="preserve">70</x:t>
        </x:is>
      </x:c>
      <x:c r="Q71" t="inlineStr">
        <x:is>
          <x:t xml:space="preserve">2015-11-09</x:t>
        </x:is>
      </x:c>
      <x:c r="R71" t="inlineStr">
        <x:is>
          <x:t xml:space="preserve">2015-12-04</x:t>
        </x:is>
      </x:c>
      <x:c r="S71" t="inlineStr">
        <x:is>
          <x:t xml:space="preserve">0.8212877792378449</x:t>
        </x:is>
      </x:c>
      <x:c r="T71" t="inlineStr">
        <x:is>
          <x:t xml:space="preserve">48814000.0</x:t>
        </x:is>
      </x:c>
      <x:c r="U71" t="inlineStr">
        <x:is>
          <x:t xml:space="preserve">DIGITAL_ICT</x:t>
        </x:is>
      </x:c>
      <x:c r="V71" t="inlineStr">
        <x:is>
          <x:t xml:space="preserve">True</x:t>
        </x:is>
      </x:c>
      <x:c r="W71" t="inlineStr">
        <x:is>
          <x:t xml:space="preserve">0.9479573418528516</x:t>
        </x:is>
      </x:c>
      <x:c r="X71" t="inlineStr">
        <x:is>
          <x:t xml:space="preserve">1.0</x:t>
        </x:is>
      </x:c>
      <x:c r="Y71" t="inlineStr">
        <x:is>
          <x:t xml:space="preserve">0.1403854577310556</x:t>
        </x:is>
      </x:c>
      <x:c r="Z71" t="inlineStr">
        <x:is>
          <x:t xml:space="preserve">0.6</x:t>
        </x:is>
      </x:c>
      <x:c r="AA71" t="inlineStr">
        <x:is>
          <x:t xml:space="preserve">0.7268814340812619</x:t>
        </x:is>
      </x:c>
      <x:c r="AB71" t="inlineStr">
        <x:is>
          <x:t xml:space="preserve">0.7665534862131983</x:t>
        </x:is>
      </x:c>
      <x:c r="AC71" t="inlineStr">
        <x:is>
          <x:t xml:space="preserve">0.0015051518303461</x:t>
        </x:is>
      </x:c>
      <x:c r="AD71" t="inlineStr">
        <x:is>
          <x:t xml:space="preserve">7</x:t>
        </x:is>
      </x:c>
      <x:c r="AE71" s="2" t="inlineStr">
        <x:is>
          <x:t xml:space="preserve">fourniture, installation, paramétrage, intégration, déploiement et maintenance d'une solution de gestion informatisée des radiopharmacies de médecine nucléaire du chu de Nantes</x:t>
        </x:is>
      </x:c>
      <x:c r="AF71" s="2" t="inlineStr">
        <x:is>
          <x:t xml:space="preserve">fourniture, installation, paramétrage, intégration, déploiement et maintenance d'une solution de gestion informatisée des radiopharmacies de médecine nucléaire du chu de nantes à Nantes (rectificatif)</x:t>
        </x:is>
      </x:c>
      <x:c r="AG71" t="inlineStr">
        <x:is>
          <x:t xml:space="preserve">GBM_SMALL_MARGIN</x:t>
        </x:is>
      </x:c>
      <x:c r="AH71" t="inlineStr">
        <x:is>
          <x:t xml:space="preserve">primary_gbm@0.230964__baseline_composite@0.343167</x:t>
        </x:is>
      </x:c>
      <x:c r="AI71" t="inlineStr">
        <x:is>
          <x:t xml:space="preserve">real_boamp_layer1</x:t>
        </x:is>
      </x:c>
    </x:row>
    <x:row r="72" ht="48" customHeight="1">
      <x:c r="A72" s="4" t="inlineStr">
        <x:is>
          <x:t xml:space="preserve">AUDIT-071</x:t>
        </x:is>
      </x:c>
      <x:c r="B72" s="4" t="inlineStr">
        <x:is>
          <x:t xml:space="preserve">gbm_small_margin</x:t>
        </x:is>
      </x:c>
      <x:c r="C72" s="4" t="str">
        <x:v>WRONG_LINK</x:v>
      </x:c>
      <x:c r="D72" s="4" t="str">
        <x:v>HIGH</x:v>
      </x:c>
      <x:c r="E72" s="4" t="str">
        <x:v>FALSE</x:v>
      </x:c>
      <x:c r="F72" s="5" t="n">
        <x:v>46240</x:v>
      </x:c>
      <x:c r="G72" s="6" t="str">
        <x:v>The source is 'Informatisation de la gestion de formulaires réglementaires pour les DT-DICT-ATU' while the candidate is 'Prestations de mise à disposition avec hébergement d'une plateforme de dématérialisation des procédures de passation et exécution des …'. The concrete functions/equipment are materially different; same buyer and broad digital/CPV similarity do not establish a renewal or relaunch.</x:v>
      </x:c>
      <x:c r="H72" t="inlineStr">
        <x:is>
          <x:t xml:space="preserve">20-135543</x:t>
        </x:is>
      </x:c>
      <x:c r="I72" t="inlineStr">
        <x:is>
          <x:t xml:space="preserve">21-143328</x:t>
        </x:is>
      </x:c>
      <x:c r="J72" t="inlineStr">
        <x:is>
          <x:t xml:space="preserve">21-143328</x:t>
        </x:is>
      </x:c>
      <x:c r="K72" t="inlineStr">
        <x:is>
          <x:t xml:space="preserve">21-143328</x:t>
        </x:is>
      </x:c>
      <x:c r="L72" t="inlineStr">
        <x:is>
          <x:t xml:space="preserve">LINKED</x:t>
        </x:is>
      </x:c>
      <x:c r="M72" t="inlineStr">
        <x:is>
          <x:t xml:space="preserve">LINKED</x:t>
        </x:is>
      </x:c>
      <x:c r="N72" t="inlineStr">
        <x:is>
          <x:t xml:space="preserve">Département de la Vendée</x:t>
        </x:is>
      </x:c>
      <x:c r="O72" t="inlineStr">
        <x:is>
          <x:t xml:space="preserve">NAME_FALLBACK</x:t>
        </x:is>
      </x:c>
      <x:c r="P72" t="inlineStr">
        <x:is>
          <x:t xml:space="preserve">28</x:t>
        </x:is>
      </x:c>
      <x:c r="Q72" t="inlineStr">
        <x:is>
          <x:t xml:space="preserve">2020-11-04</x:t>
        </x:is>
      </x:c>
      <x:c r="R72" t="inlineStr">
        <x:is>
          <x:t xml:space="preserve">2021-10-25</x:t>
        </x:is>
      </x:c>
      <x:c r="S72" t="inlineStr">
        <x:is>
          <x:t xml:space="preserve">11.662286465177395</x:t>
        </x:is>
      </x:c>
      <x:c r="T72" t="inlineStr">
        <x:is>
          <x:t xml:space="preserve">72212325.0</x:t>
        </x:is>
      </x:c>
      <x:c r="U72" t="inlineStr">
        <x:is>
          <x:t xml:space="preserve">DIGITAL_ICT</x:t>
        </x:is>
      </x:c>
      <x:c r="V72" t="inlineStr">
        <x:is>
          <x:t xml:space="preserve">True</x:t>
        </x:is>
      </x:c>
      <x:c r="W72" t="inlineStr">
        <x:is>
          <x:t xml:space="preserve">0.0087144312748617</x:t>
        </x:is>
      </x:c>
      <x:c r="X72" t="inlineStr">
        <x:is>
          <x:t xml:space="preserve">0.8</x:t>
        </x:is>
      </x:c>
      <x:c r="Y72" t="inlineStr">
        <x:is>
          <x:t xml:space="preserve">0.7645641699518178</x:t>
        </x:is>
      </x:c>
      <x:c r="Z72" t="inlineStr">
        <x:is>
          <x:t xml:space="preserve">0.6</x:t>
        </x:is>
      </x:c>
      <x:c r="AA72" t="inlineStr">
        <x:is>
          <x:t xml:space="preserve">0.494191093434156</x:t>
        </x:is>
      </x:c>
      <x:c r="AB72" t="inlineStr">
        <x:is>
          <x:t xml:space="preserve">0.8652454939523634</x:t>
        </x:is>
      </x:c>
      <x:c r="AC72" t="inlineStr">
        <x:is>
          <x:t xml:space="preserve">0.0013688129653964</x:t>
        </x:is>
      </x:c>
      <x:c r="AD72" t="inlineStr">
        <x:is>
          <x:t xml:space="preserve">3</x:t>
        </x:is>
      </x:c>
      <x:c r="AE72" s="2" t="inlineStr">
        <x:is>
          <x:t xml:space="preserve">Informatisation de la gestion de formulaires réglementaires pour les DT-DICT-ATU</x:t>
        </x:is>
      </x:c>
      <x:c r="AF72" s="2" t="inlineStr">
        <x:is>
          <x:t xml:space="preserve">Prestations de mise à disposition avec hébergement d'une plateforme de dématérialisation des procédures de passation et exécution des marchés publics</x:t>
        </x:is>
      </x:c>
      <x:c r="AG72" t="inlineStr">
        <x:is>
          <x:t xml:space="preserve">GBM_SMALL_MARGIN</x:t>
        </x:is>
      </x:c>
      <x:c r="AH72" t="inlineStr">
        <x:is>
          <x:t xml:space="preserve">primary_gbm@0.230964__baseline_composite@0.343167</x:t>
        </x:is>
      </x:c>
      <x:c r="AI72" t="inlineStr">
        <x:is>
          <x:t xml:space="preserve">real_boamp_layer1</x:t>
        </x:is>
      </x:c>
    </x:row>
    <x:row r="73" ht="48" customHeight="1">
      <x:c r="A73" s="4" t="inlineStr">
        <x:is>
          <x:t xml:space="preserve">AUDIT-072</x:t>
        </x:is>
      </x:c>
      <x:c r="B73" s="4" t="inlineStr">
        <x:is>
          <x:t xml:space="preserve">gbm_small_margin</x:t>
        </x:is>
      </x:c>
      <x:c r="C73" s="4" t="str">
        <x:v>CORRECT_LINK</x:v>
      </x:c>
      <x:c r="D73" s="4" t="str">
        <x:v>MEDIUM</x:v>
      </x:c>
      <x:c r="E73" s="4" t="str">
        <x:v>TRUE</x:v>
      </x:c>
      <x:c r="F73" s="5" t="n">
        <x:v>46240</x:v>
      </x:c>
      <x:c r="G73" s="6" t="str">
        <x:v>The later SETRAM notice repeats two source lots exactly: the bus air-conditioning service station and the extraction/sander/planer system. It is a credible reprocurement of those needs within a broader technical-equipment notice.</x:v>
      </x:c>
      <x:c r="H73" t="inlineStr">
        <x:is>
          <x:t xml:space="preserve">22-171933</x:t>
        </x:is>
      </x:c>
      <x:c r="I73" t="inlineStr">
        <x:is>
          <x:t xml:space="preserve">24-43365</x:t>
        </x:is>
      </x:c>
      <x:c r="J73" t="inlineStr">
        <x:is>
          <x:t xml:space="preserve">24-43365</x:t>
        </x:is>
      </x:c>
      <x:c r="K73" t="inlineStr">
        <x:is>
          <x:t xml:space="preserve">24-43365</x:t>
        </x:is>
      </x:c>
      <x:c r="L73" t="inlineStr">
        <x:is>
          <x:t xml:space="preserve">LINKED</x:t>
        </x:is>
      </x:c>
      <x:c r="M73" t="inlineStr">
        <x:is>
          <x:t xml:space="preserve">LINKED</x:t>
        </x:is>
      </x:c>
      <x:c r="N73" t="inlineStr">
        <x:is>
          <x:t xml:space="preserve">Le Mans Métropole - Communauté Urbaine</x:t>
        </x:is>
      </x:c>
      <x:c r="O73" t="inlineStr">
        <x:is>
          <x:t xml:space="preserve">RAW_SIRET</x:t>
        </x:is>
      </x:c>
      <x:c r="P73" t="inlineStr">
        <x:is>
          <x:t xml:space="preserve">30</x:t>
        </x:is>
      </x:c>
      <x:c r="Q73" t="inlineStr">
        <x:is>
          <x:t xml:space="preserve">2023-01-01</x:t>
        </x:is>
      </x:c>
      <x:c r="R73" t="inlineStr">
        <x:is>
          <x:t xml:space="preserve">2024-04-14</x:t>
        </x:is>
      </x:c>
      <x:c r="S73" t="inlineStr">
        <x:is>
          <x:t xml:space="preserve">15.407358738501973</x:t>
        </x:is>
      </x:c>
      <x:c r="T73" t="inlineStr">
        <x:is>
          <x:t xml:space="preserve">39300000.0</x:t>
        </x:is>
      </x:c>
      <x:c r="U73" t="inlineStr">
        <x:is>
          <x:t xml:space="preserve">DIGITAL_ICT</x:t>
        </x:is>
      </x:c>
      <x:c r="V73" t="inlineStr">
        <x:is>
          <x:t xml:space="preserve">True</x:t>
        </x:is>
      </x:c>
      <x:c r="W73" t="inlineStr">
        <x:is>
          <x:t xml:space="preserve">0.5576746382331395</x:t>
        </x:is>
      </x:c>
      <x:c r="X73" t="inlineStr">
        <x:is>
          <x:t xml:space="preserve">1.0</x:t>
        </x:is>
      </x:c>
      <x:c r="Y73" t="inlineStr">
        <x:is>
          <x:t xml:space="preserve">0.2608409986859396</x:t>
        </x:is>
      </x:c>
      <x:c r="Z73" t="inlineStr">
        <x:is>
          <x:t xml:space="preserve">1.0</x:t>
        </x:is>
      </x:c>
      <x:c r="AA73" t="inlineStr">
        <x:is>
          <x:t xml:space="preserve">0.6603963730530836</x:t>
        </x:is>
      </x:c>
      <x:c r="AB73" t="inlineStr">
        <x:is>
          <x:t xml:space="preserve">0.8476345340916653</x:t>
        </x:is>
      </x:c>
      <x:c r="AC73" t="inlineStr">
        <x:is>
          <x:t xml:space="preserve">0.0424332019272886</x:t>
        </x:is>
      </x:c>
      <x:c r="AD73" t="inlineStr">
        <x:is>
          <x:t xml:space="preserve">9</x:t>
        </x:is>
      </x:c>
      <x:c r="AE73" s="2" t="inlineStr">
        <x:is>
          <x:t xml:space="preserve">Acquisition de matériels informatiques et techniques pour la Setram</x:t>
        </x:is>
      </x:c>
      <x:c r="AF73" s="2" t="inlineStr">
        <x:is>
          <x:t xml:space="preserve">Acquisition de matériels techniques et informatiques pour la SETRAM</x:t>
        </x:is>
      </x:c>
      <x:c r="AG73" t="inlineStr">
        <x:is>
          <x:t xml:space="preserve">GBM_SMALL_MARGIN</x:t>
        </x:is>
      </x:c>
      <x:c r="AH73" t="inlineStr">
        <x:is>
          <x:t xml:space="preserve">primary_gbm@0.230964__baseline_composite@0.343167</x:t>
        </x:is>
      </x:c>
      <x:c r="AI73" t="inlineStr">
        <x:is>
          <x:t xml:space="preserve">real_boamp_layer1</x:t>
        </x:is>
      </x:c>
    </x:row>
    <x:row r="74" ht="48" customHeight="1">
      <x:c r="A74" s="4" t="inlineStr">
        <x:is>
          <x:t xml:space="preserve">AUDIT-073</x:t>
        </x:is>
      </x:c>
      <x:c r="B74" s="4" t="inlineStr">
        <x:is>
          <x:t xml:space="preserve">gbm_small_margin</x:t>
        </x:is>
      </x:c>
      <x:c r="C74" s="4" t="str">
        <x:v>WRONG_LINK</x:v>
      </x:c>
      <x:c r="D74" s="4" t="str">
        <x:v>MEDIUM</x:v>
      </x:c>
      <x:c r="E74" s="4" t="str">
        <x:v>TRUE</x:v>
      </x:c>
      <x:c r="F74" s="5" t="n">
        <x:v>46240</x:v>
      </x:c>
      <x:c r="G74" s="6" t="str">
        <x:v>The source is 'Prestations d'assistance au développement sous typo 3, et maintenance web et prestations complémentaires' while the candidate is 'acquisition, mise en place et maintenance d'une solution logicielle de gestion de relation clientèle'. The concrete functions/equipment are materially different; same buyer and broad digital/CPV similarity do not establish a renewal or relaunch.</x:v>
      </x:c>
      <x:c r="H74" t="inlineStr">
        <x:is>
          <x:t xml:space="preserve">19-176963</x:t>
        </x:is>
      </x:c>
      <x:c r="I74" t="inlineStr">
        <x:is>
          <x:t xml:space="preserve">20-66280</x:t>
        </x:is>
      </x:c>
      <x:c r="J74" t="inlineStr">
        <x:is>
          <x:t xml:space="preserve">20-66280</x:t>
        </x:is>
      </x:c>
      <x:c r="K74" t="inlineStr">
        <x:is>
          <x:t xml:space="preserve">20-66280</x:t>
        </x:is>
      </x:c>
      <x:c r="L74" t="inlineStr">
        <x:is>
          <x:t xml:space="preserve">LINKED</x:t>
        </x:is>
      </x:c>
      <x:c r="M74" t="inlineStr">
        <x:is>
          <x:t xml:space="preserve">LINKED</x:t>
        </x:is>
      </x:c>
      <x:c r="N74" t="inlineStr">
        <x:is>
          <x:t xml:space="preserve">Angers Loire Métropole</x:t>
        </x:is>
      </x:c>
      <x:c r="O74" t="inlineStr">
        <x:is>
          <x:t xml:space="preserve">NAME_FALLBACK</x:t>
        </x:is>
      </x:c>
      <x:c r="P74" t="inlineStr">
        <x:is>
          <x:t xml:space="preserve">61</x:t>
        </x:is>
      </x:c>
      <x:c r="Q74" t="inlineStr">
        <x:is>
          <x:t xml:space="preserve">2020-01-06</x:t>
        </x:is>
      </x:c>
      <x:c r="R74" t="inlineStr">
        <x:is>
          <x:t xml:space="preserve">2020-05-28</x:t>
        </x:is>
      </x:c>
      <x:c r="S74" t="inlineStr">
        <x:is>
          <x:t xml:space="preserve">4.697766097240473</x:t>
        </x:is>
      </x:c>
      <x:c r="T74" t="inlineStr">
        <x:is>
          <x:t xml:space="preserve">72212224.0</x:t>
        </x:is>
      </x:c>
      <x:c r="U74" t="inlineStr">
        <x:is>
          <x:t xml:space="preserve">DIGITAL_ICT</x:t>
        </x:is>
      </x:c>
      <x:c r="V74" t="inlineStr">
        <x:is>
          <x:t xml:space="preserve">True</x:t>
        </x:is>
      </x:c>
      <x:c r="W74" t="inlineStr">
        <x:is>
          <x:t xml:space="preserve">0.0335075139354508</x:t>
        </x:is>
      </x:c>
      <x:c r="X74" t="inlineStr">
        <x:is>
          <x:t xml:space="preserve">0.8</x:t>
        </x:is>
      </x:c>
      <x:c r="Y74" t="inlineStr">
        <x:is>
          <x:t xml:space="preserve">0.7864651773981604</x:t>
        </x:is>
      </x:c>
      <x:c r="Z74" t="inlineStr">
        <x:is>
          <x:t xml:space="preserve">0.6</x:t>
        </x:is>
      </x:c>
      <x:c r="AA74" t="inlineStr">
        <x:is>
          <x:t xml:space="preserve">0.5083439242269479</x:t>
        </x:is>
      </x:c>
      <x:c r="AB74" t="inlineStr">
        <x:is>
          <x:t xml:space="preserve">0.8912071555441062</x:t>
        </x:is>
      </x:c>
      <x:c r="AC74" t="inlineStr">
        <x:is>
          <x:t xml:space="preserve">0.0450983338392401</x:t>
        </x:is>
      </x:c>
      <x:c r="AD74" t="inlineStr">
        <x:is>
          <x:t xml:space="preserve">6</x:t>
        </x:is>
      </x:c>
      <x:c r="AE74" s="2" t="inlineStr">
        <x:is>
          <x:t xml:space="preserve">Prestations d'assistance au développement sous typo 3, et maintenance web et prestations complémentaires</x:t>
        </x:is>
      </x:c>
      <x:c r="AF74" s="2" t="inlineStr">
        <x:is>
          <x:t xml:space="preserve">acquisition, mise en place et maintenance d'une solution logicielle de gestion de relation clientèle</x:t>
        </x:is>
      </x:c>
      <x:c r="AG74" t="inlineStr">
        <x:is>
          <x:t xml:space="preserve">GBM_SMALL_MARGIN</x:t>
        </x:is>
      </x:c>
      <x:c r="AH74" t="inlineStr">
        <x:is>
          <x:t xml:space="preserve">primary_gbm@0.230964__baseline_composite@0.343167</x:t>
        </x:is>
      </x:c>
      <x:c r="AI74" t="inlineStr">
        <x:is>
          <x:t xml:space="preserve">real_boamp_layer1</x:t>
        </x:is>
      </x:c>
    </x:row>
    <x:row r="75" ht="48" customHeight="1">
      <x:c r="A75" s="4" t="inlineStr">
        <x:is>
          <x:t xml:space="preserve">AUDIT-074</x:t>
        </x:is>
      </x:c>
      <x:c r="B75" s="4" t="inlineStr">
        <x:is>
          <x:t xml:space="preserve">gbm_small_margin</x:t>
        </x:is>
      </x:c>
      <x:c r="C75" s="4" t="str">
        <x:v>WRONG_LINK</x:v>
      </x:c>
      <x:c r="D75" s="4" t="str">
        <x:v>MEDIUM</x:v>
      </x:c>
      <x:c r="E75" s="4" t="str">
        <x:v>TRUE</x:v>
      </x:c>
      <x:c r="F75" s="5" t="n">
        <x:v>46240</x:v>
      </x:c>
      <x:c r="G75" s="6" t="str">
        <x:v>The source is 'assistance à maîtrise d'ouvrage pour l'accompagnement dans le montage d'un projet i-site du programme investissement d'avenir 2 (pia 2…' while the candidate is 'Accord cadre pour l'assistance méthodologique d'accompagnement du changement'. The concrete functions/equipment are materially different; same buyer and broad digital/CPV similarity do not establish a renewal or relaunch.</x:v>
      </x:c>
      <x:c r="H75" t="inlineStr">
        <x:is>
          <x:t xml:space="preserve">15-173090</x:t>
        </x:is>
      </x:c>
      <x:c r="I75" t="inlineStr">
        <x:is>
          <x:t xml:space="preserve">16-70203</x:t>
        </x:is>
      </x:c>
      <x:c r="J75" t="inlineStr">
        <x:is>
          <x:t xml:space="preserve">16-70203</x:t>
        </x:is>
      </x:c>
      <x:c r="K75" t="inlineStr">
        <x:is>
          <x:t xml:space="preserve">16-70203</x:t>
        </x:is>
      </x:c>
      <x:c r="L75" t="inlineStr">
        <x:is>
          <x:t xml:space="preserve">LINKED</x:t>
        </x:is>
      </x:c>
      <x:c r="M75" t="inlineStr">
        <x:is>
          <x:t xml:space="preserve">LINKED</x:t>
        </x:is>
      </x:c>
      <x:c r="N75" t="inlineStr">
        <x:is>
          <x:t xml:space="preserve">Université de Nantes</x:t>
        </x:is>
      </x:c>
      <x:c r="O75" t="inlineStr">
        <x:is>
          <x:t xml:space="preserve">NAME_FALLBACK</x:t>
        </x:is>
      </x:c>
      <x:c r="P75" t="inlineStr">
        <x:is>
          <x:t xml:space="preserve">53</x:t>
        </x:is>
      </x:c>
      <x:c r="Q75" t="inlineStr">
        <x:is>
          <x:t xml:space="preserve">2015-11-16</x:t>
        </x:is>
      </x:c>
      <x:c r="R75" t="inlineStr">
        <x:is>
          <x:t xml:space="preserve">2016-05-17</x:t>
        </x:is>
      </x:c>
      <x:c r="S75" t="inlineStr">
        <x:is>
          <x:t xml:space="preserve">6.011826544021025</x:t>
        </x:is>
      </x:c>
      <x:c r="T75" t="inlineStr">
        <x:is>
          <x:t xml:space="preserve">72224000.0</x:t>
        </x:is>
      </x:c>
      <x:c r="U75" t="inlineStr">
        <x:is>
          <x:t xml:space="preserve">DIGITAL_ICT</x:t>
        </x:is>
      </x:c>
      <x:c r="V75" t="inlineStr">
        <x:is>
          <x:t xml:space="preserve">True</x:t>
        </x:is>
      </x:c>
      <x:c r="W75" t="inlineStr">
        <x:is>
          <x:t xml:space="preserve">0.065630527192823</x:t>
        </x:is>
      </x:c>
      <x:c r="X75" t="inlineStr">
        <x:is>
          <x:t xml:space="preserve">1.0</x:t>
        </x:is>
      </x:c>
      <x:c r="Y75" t="inlineStr">
        <x:is>
          <x:t xml:space="preserve">0.6057818659658345</x:t>
        </x:is>
      </x:c>
      <x:c r="Z75" t="inlineStr">
        <x:is>
          <x:t xml:space="preserve">0.6</x:t>
        </x:is>
      </x:c>
      <x:c r="AA75" t="inlineStr">
        <x:is>
          <x:t xml:space="preserve">0.5344161510089467</x:t>
        </x:is>
      </x:c>
      <x:c r="AB75" t="inlineStr">
        <x:is>
          <x:t xml:space="preserve">0.9492056531169012</x:t>
        </x:is>
      </x:c>
      <x:c r="AC75" t="inlineStr">
        <x:is>
          <x:t xml:space="preserve">0.0280202360181862</x:t>
        </x:is>
      </x:c>
      <x:c r="AD75" t="inlineStr">
        <x:is>
          <x:t xml:space="preserve">10</x:t>
        </x:is>
      </x:c>
      <x:c r="AE75" s="2" t="inlineStr">
        <x:is>
          <x:t xml:space="preserve">assistance à maîtrise d'ouvrage pour l'accompagnement dans le montage d'un projet i-site du programme investissement d'avenir 2 (pia 2) Université à Nantes</x:t>
        </x:is>
      </x:c>
      <x:c r="AF75" s="2" t="inlineStr">
        <x:is>
          <x:t xml:space="preserve">Accord cadre pour l'assistance méthodologique d'accompagnement du changement</x:t>
        </x:is>
      </x:c>
      <x:c r="AG75" t="inlineStr">
        <x:is>
          <x:t xml:space="preserve">GBM_SMALL_MARGIN</x:t>
        </x:is>
      </x:c>
      <x:c r="AH75" t="inlineStr">
        <x:is>
          <x:t xml:space="preserve">primary_gbm@0.230964__baseline_composite@0.343167</x:t>
        </x:is>
      </x:c>
      <x:c r="AI75" t="inlineStr">
        <x:is>
          <x:t xml:space="preserve">real_boamp_layer1</x:t>
        </x:is>
      </x:c>
    </x:row>
    <x:row r="76" ht="48" customHeight="1">
      <x:c r="A76" s="4" t="inlineStr">
        <x:is>
          <x:t xml:space="preserve">AUDIT-075</x:t>
        </x:is>
      </x:c>
      <x:c r="B76" s="4" t="inlineStr">
        <x:is>
          <x:t xml:space="preserve">rejected_composite_top_candidate</x:t>
        </x:is>
      </x:c>
      <x:c r="C76" s="4" t="str">
        <x:v>CORRECT_REJECTION</x:v>
      </x:c>
      <x:c r="D76" s="4" t="str">
        <x:v>MEDIUM</x:v>
      </x:c>
      <x:c r="E76" s="4" t="str">
        <x:v>FALSE</x:v>
      </x:c>
      <x:c r="F76" s="5" t="n">
        <x:v>46240</x:v>
      </x:c>
      <x:c r="G76" s="6" t="str">
        <x:v>The rejected candidate concerns Vendée Globe telecom/network infrastructure, not drifting-ice monitoring. The same-buyer later-notice search found no plausible ice-monitoring successor.</x:v>
      </x:c>
      <x:c r="H76" t="inlineStr">
        <x:is>
          <x:t xml:space="preserve">24-81192</x:t>
        </x:is>
      </x:c>
      <x:c r="I76" t="inlineStr">
        <x:is>
          <x:t xml:space="preserve">24-82336</x:t>
        </x:is>
      </x:c>
      <x:c r="J76" t="inlineStr">
        <x:is>
          <x:t xml:space="preserve"/>
        </x:is>
      </x:c>
      <x:c r="K76" t="inlineStr">
        <x:is>
          <x:t xml:space="preserve"/>
        </x:is>
      </x:c>
      <x:c r="L76" t="inlineStr">
        <x:is>
          <x:t xml:space="preserve">NOT_LINKED</x:t>
        </x:is>
      </x:c>
      <x:c r="M76" t="inlineStr">
        <x:is>
          <x:t xml:space="preserve">NOT_LINKED</x:t>
        </x:is>
      </x:c>
      <x:c r="N76" t="inlineStr">
        <x:is>
          <x:t xml:space="preserve">SAEM VENDEE - Vendée Globe</x:t>
        </x:is>
      </x:c>
      <x:c r="O76" t="inlineStr">
        <x:is>
          <x:t xml:space="preserve">RAW_SIRET</x:t>
        </x:is>
      </x:c>
      <x:c r="P76" t="inlineStr">
        <x:is>
          <x:t xml:space="preserve">7</x:t>
        </x:is>
      </x:c>
      <x:c r="Q76" t="inlineStr">
        <x:is>
          <x:t xml:space="preserve">2024-07-12</x:t>
        </x:is>
      </x:c>
      <x:c r="R76" t="inlineStr">
        <x:is>
          <x:t xml:space="preserve">2024-07-14</x:t>
        </x:is>
      </x:c>
      <x:c r="S76" t="inlineStr">
        <x:is>
          <x:t xml:space="preserve">0.0657030223390276</x:t>
        </x:is>
      </x:c>
      <x:c r="T76" t="inlineStr">
        <x:is>
          <x:t xml:space="preserve">35631200.0</x:t>
        </x:is>
      </x:c>
      <x:c r="U76" t="inlineStr">
        <x:is>
          <x:t xml:space="preserve">DIGITAL_ICT</x:t>
        </x:is>
      </x:c>
      <x:c r="V76" t="inlineStr">
        <x:is>
          <x:t xml:space="preserve">False</x:t>
        </x:is>
      </x:c>
      <x:c r="W76" t="inlineStr">
        <x:is>
          <x:t xml:space="preserve">0.347533536577847</x:t>
        </x:is>
      </x:c>
      <x:c r="X76" t="inlineStr">
        <x:is>
          <x:t xml:space="preserve">0.0</x:t>
        </x:is>
      </x:c>
      <x:c r="Y76" t="inlineStr">
        <x:is>
          <x:t xml:space="preserve">0.3374945247481384</x:t>
        </x:is>
      </x:c>
      <x:c r="Z76" t="inlineStr">
        <x:is>
          <x:t xml:space="preserve">1.0</x:t>
        </x:is>
      </x:c>
      <x:c r="AA76" t="inlineStr">
        <x:is>
          <x:t xml:space="preserve">0.306010368989281</x:t>
        </x:is>
      </x:c>
      <x:c r="AB76" t="inlineStr">
        <x:is>
          <x:t xml:space="preserve"/>
        </x:is>
      </x:c>
      <x:c r="AC76" t="inlineStr">
        <x:is>
          <x:t xml:space="preserve">0.306010368989281</x:t>
        </x:is>
      </x:c>
      <x:c r="AD76" t="inlineStr">
        <x:is>
          <x:t xml:space="preserve">1</x:t>
        </x:is>
      </x:c>
      <x:c r="AE76" s="2" t="inlineStr">
        <x:is>
          <x:t xml:space="preserve">Suivi des glaces dérivantes pour le Vendée Globe 2024-2025 avec un opérateur économique qui s'engage à être fournisseur officiel de la SAEM Vendée</x:t>
        </x:is>
      </x:c>
      <x:c r="AF76" s="2" t="inlineStr">
        <x:is>
          <x:t xml:space="preserve">Mise à disposition , installation et maintenance d'infrastructrures réseaux et de services de télécommunication pour les villages du Vendée Globe 2024-2024</x:t>
        </x:is>
      </x:c>
      <x:c r="AG76" t="inlineStr">
        <x:is>
          <x:t xml:space="preserve">REJECTED_COMPOSITE_TOP_CANDIDATE</x:t>
        </x:is>
      </x:c>
      <x:c r="AH76" t="inlineStr">
        <x:is>
          <x:t xml:space="preserve">primary_gbm@0.230964__baseline_composite@0.343167</x:t>
        </x:is>
      </x:c>
      <x:c r="AI76" t="inlineStr">
        <x:is>
          <x:t xml:space="preserve">real_boamp_layer1</x:t>
        </x:is>
      </x:c>
    </x:row>
    <x:row r="77" ht="48" customHeight="1">
      <x:c r="A77" s="4" t="inlineStr">
        <x:is>
          <x:t xml:space="preserve">AUDIT-076</x:t>
        </x:is>
      </x:c>
      <x:c r="B77" s="4" t="inlineStr">
        <x:is>
          <x:t xml:space="preserve">rejected_composite_top_candidate</x:t>
        </x:is>
      </x:c>
      <x:c r="C77" s="4" t="str">
        <x:v>CORRECT_REJECTION</x:v>
      </x:c>
      <x:c r="D77" s="4" t="str">
        <x:v>MEDIUM</x:v>
      </x:c>
      <x:c r="E77" s="4" t="str">
        <x:v>FALSE</x:v>
      </x:c>
      <x:c r="F77" s="5" t="n">
        <x:v>46240</x:v>
      </x:c>
      <x:c r="G77" s="6" t="str">
        <x:v>The rejected candidate is Centreon software maintenance, not a plasma-cutting machine. Later same-buyer machine procurements concern different equipment, so no plausible successor was identified.</x:v>
      </x:c>
      <x:c r="H77" t="inlineStr">
        <x:is>
          <x:t xml:space="preserve">18-178358</x:t>
        </x:is>
      </x:c>
      <x:c r="I77" t="inlineStr">
        <x:is>
          <x:t xml:space="preserve">19-147471</x:t>
        </x:is>
      </x:c>
      <x:c r="J77" t="inlineStr">
        <x:is>
          <x:t xml:space="preserve"/>
        </x:is>
      </x:c>
      <x:c r="K77" t="inlineStr">
        <x:is>
          <x:t xml:space="preserve"/>
        </x:is>
      </x:c>
      <x:c r="L77" t="inlineStr">
        <x:is>
          <x:t xml:space="preserve">NOT_LINKED</x:t>
        </x:is>
      </x:c>
      <x:c r="M77" t="inlineStr">
        <x:is>
          <x:t xml:space="preserve">NOT_LINKED</x:t>
        </x:is>
      </x:c>
      <x:c r="N77" t="inlineStr">
        <x:is>
          <x:t xml:space="preserve">Université d'Angers</x:t>
        </x:is>
      </x:c>
      <x:c r="O77" t="inlineStr">
        <x:is>
          <x:t xml:space="preserve">NAME_FALLBACK</x:t>
        </x:is>
      </x:c>
      <x:c r="P77" t="inlineStr">
        <x:is>
          <x:t xml:space="preserve">29</x:t>
        </x:is>
      </x:c>
      <x:c r="Q77" t="inlineStr">
        <x:is>
          <x:t xml:space="preserve">2018-12-20</x:t>
        </x:is>
      </x:c>
      <x:c r="R77" t="inlineStr">
        <x:is>
          <x:t xml:space="preserve">2019-09-30</x:t>
        </x:is>
      </x:c>
      <x:c r="S77" t="inlineStr">
        <x:is>
          <x:t xml:space="preserve">9.32982917214192</x:t>
        </x:is>
      </x:c>
      <x:c r="T77" t="inlineStr">
        <x:is>
          <x:t xml:space="preserve"/>
        </x:is>
      </x:c>
      <x:c r="U77" t="inlineStr">
        <x:is>
          <x:t xml:space="preserve">DIGITAL_ICT</x:t>
        </x:is>
      </x:c>
      <x:c r="V77" t="inlineStr">
        <x:is>
          <x:t xml:space="preserve">True</x:t>
        </x:is>
      </x:c>
      <x:c r="W77" t="inlineStr">
        <x:is>
          <x:t xml:space="preserve">0.0262790972595909</x:t>
        </x:is>
      </x:c>
      <x:c r="X77" t="inlineStr">
        <x:is>
          <x:t xml:space="preserve">0.1</x:t>
        </x:is>
      </x:c>
      <x:c r="Y77" t="inlineStr">
        <x:is>
          <x:t xml:space="preserve">0.9561979851073148</x:t>
        </x:is>
      </x:c>
      <x:c r="Z77" t="inlineStr">
        <x:is>
          <x:t xml:space="preserve">0.6</x:t>
        </x:is>
      </x:c>
      <x:c r="AA77" t="inlineStr">
        <x:is>
          <x:t xml:space="preserve">0.3382471803176856</x:t>
        </x:is>
      </x:c>
      <x:c r="AB77" t="inlineStr">
        <x:is>
          <x:t xml:space="preserve"/>
        </x:is>
      </x:c>
      <x:c r="AC77" t="inlineStr">
        <x:is>
          <x:t xml:space="preserve">0.035065662626622</x:t>
        </x:is>
      </x:c>
      <x:c r="AD77" t="inlineStr">
        <x:is>
          <x:t xml:space="preserve">4</x:t>
        </x:is>
      </x:c>
      <x:c r="AE77" s="2" t="inlineStr">
        <x:is>
          <x:t xml:space="preserve">Acquisition et installation d'une machine de découpe plasma à commande numérique</x:t>
        </x:is>
      </x:c>
      <x:c r="AF77" s="2" t="inlineStr">
        <x:is>
          <x:t xml:space="preserve">Maintenance et assistance avec acquisition de licences pour le logiciel CENTREON</x:t>
        </x:is>
      </x:c>
      <x:c r="AG77" t="inlineStr">
        <x:is>
          <x:t xml:space="preserve">REJECTED_COMPOSITE_TOP_CANDIDATE</x:t>
        </x:is>
      </x:c>
      <x:c r="AH77" t="inlineStr">
        <x:is>
          <x:t xml:space="preserve">primary_gbm@0.230964__baseline_composite@0.343167</x:t>
        </x:is>
      </x:c>
      <x:c r="AI77" t="inlineStr">
        <x:is>
          <x:t xml:space="preserve">real_boamp_layer1</x:t>
        </x:is>
      </x:c>
    </x:row>
    <x:row r="78" ht="48" customHeight="1">
      <x:c r="A78" s="4" t="inlineStr">
        <x:is>
          <x:t xml:space="preserve">AUDIT-077</x:t>
        </x:is>
      </x:c>
      <x:c r="B78" s="4" t="inlineStr">
        <x:is>
          <x:t xml:space="preserve">rejected_composite_top_candidate</x:t>
        </x:is>
      </x:c>
      <x:c r="C78" s="4" t="str">
        <x:v>CORRECT_REJECTION</x:v>
      </x:c>
      <x:c r="D78" s="4" t="str">
        <x:v>MEDIUM</x:v>
      </x:c>
      <x:c r="E78" s="4" t="str">
        <x:v>FALSE</x:v>
      </x:c>
      <x:c r="F78" s="5" t="n">
        <x:v>46240</x:v>
      </x:c>
      <x:c r="G78" s="6" t="str">
        <x:v>The rejected candidate is time-management software. A later hypervision notice concerns the separate new Nantes hospital project rather than renewal of the source building system; no clear successor was identified.</x:v>
      </x:c>
      <x:c r="H78" t="inlineStr">
        <x:is>
          <x:t xml:space="preserve">17-71407</x:t>
        </x:is>
      </x:c>
      <x:c r="I78" t="inlineStr">
        <x:is>
          <x:t xml:space="preserve">19-59985</x:t>
        </x:is>
      </x:c>
      <x:c r="J78" t="inlineStr">
        <x:is>
          <x:t xml:space="preserve"/>
        </x:is>
      </x:c>
      <x:c r="K78" t="inlineStr">
        <x:is>
          <x:t xml:space="preserve"/>
        </x:is>
      </x:c>
      <x:c r="L78" t="inlineStr">
        <x:is>
          <x:t xml:space="preserve">NOT_LINKED</x:t>
        </x:is>
      </x:c>
      <x:c r="M78" t="inlineStr">
        <x:is>
          <x:t xml:space="preserve">NOT_LINKED</x:t>
        </x:is>
      </x:c>
      <x:c r="N78" t="inlineStr">
        <x:is>
          <x:t xml:space="preserve">CHU de Nantes</x:t>
        </x:is>
      </x:c>
      <x:c r="O78" t="inlineStr">
        <x:is>
          <x:t xml:space="preserve">NAME_FALLBACK</x:t>
        </x:is>
      </x:c>
      <x:c r="P78" t="inlineStr">
        <x:is>
          <x:t xml:space="preserve">70</x:t>
        </x:is>
      </x:c>
      <x:c r="Q78" t="inlineStr">
        <x:is>
          <x:t xml:space="preserve">2017-05-24</x:t>
        </x:is>
      </x:c>
      <x:c r="R78" t="inlineStr">
        <x:is>
          <x:t xml:space="preserve">2019-04-17</x:t>
        </x:is>
      </x:c>
      <x:c r="S78" t="inlineStr">
        <x:is>
          <x:t xml:space="preserve">22.766097240473066</x:t>
        </x:is>
      </x:c>
      <x:c r="T78" t="inlineStr">
        <x:is>
          <x:t xml:space="preserve">48000000.0</x:t>
        </x:is>
      </x:c>
      <x:c r="U78" t="inlineStr">
        <x:is>
          <x:t xml:space="preserve">DIGITAL_ICT</x:t>
        </x:is>
      </x:c>
      <x:c r="V78" t="inlineStr">
        <x:is>
          <x:t xml:space="preserve">True</x:t>
        </x:is>
      </x:c>
      <x:c r="W78" t="inlineStr">
        <x:is>
          <x:t xml:space="preserve">0.1838650329752147</x:t>
        </x:is>
      </x:c>
      <x:c r="X78" t="inlineStr">
        <x:is>
          <x:t xml:space="preserve">0.2</x:t>
        </x:is>
      </x:c>
      <x:c r="Y78" t="inlineStr">
        <x:is>
          <x:t xml:space="preserve">0.5565045992115638</x:t>
        </x:is>
      </x:c>
      <x:c r="Z78" t="inlineStr">
        <x:is>
          <x:t xml:space="preserve">0.6</x:t>
        </x:is>
      </x:c>
      <x:c r="AA78" t="inlineStr">
        <x:is>
          <x:t xml:space="preserve">0.3234789113442161</x:t>
        </x:is>
      </x:c>
      <x:c r="AB78" t="inlineStr">
        <x:is>
          <x:t xml:space="preserve"/>
        </x:is>
      </x:c>
      <x:c r="AC78" t="inlineStr">
        <x:is>
          <x:t xml:space="preserve">0.0137666950315387</x:t>
        </x:is>
      </x:c>
      <x:c r="AD78" t="inlineStr">
        <x:is>
          <x:t xml:space="preserve">5</x:t>
        </x:is>
      </x:c>
      <x:c r="AE78" s="2" t="inlineStr">
        <x:is>
          <x:t xml:space="preserve">Fourniture, installation, mise en oeuvre et maintenance d'une solution de gestion globale (dite hypervision) du nouveau bâtiment du pôle de Médecine Physique et de Réadaptation</x:t>
        </x:is>
      </x:c>
      <x:c r="AF78" s="2" t="inlineStr">
        <x:is>
          <x:t xml:space="preserve">Fourniture, installation, paramétrage, intégration, déploiement et maintenance d'une solution de gestion informatisée du temps de travail pour l'HIPR et l'HISL</x:t>
        </x:is>
      </x:c>
      <x:c r="AG78" t="inlineStr">
        <x:is>
          <x:t xml:space="preserve">REJECTED_COMPOSITE_TOP_CANDIDATE</x:t>
        </x:is>
      </x:c>
      <x:c r="AH78" t="inlineStr">
        <x:is>
          <x:t xml:space="preserve">primary_gbm@0.230964__baseline_composite@0.343167</x:t>
        </x:is>
      </x:c>
      <x:c r="AI78" t="inlineStr">
        <x:is>
          <x:t xml:space="preserve">real_boamp_layer1</x:t>
        </x:is>
      </x:c>
    </x:row>
    <x:row r="79" ht="48" customHeight="1">
      <x:c r="A79" s="4" t="inlineStr">
        <x:is>
          <x:t xml:space="preserve">AUDIT-078</x:t>
        </x:is>
      </x:c>
      <x:c r="B79" s="4" t="inlineStr">
        <x:is>
          <x:t xml:space="preserve">rejected_composite_top_candidate</x:t>
        </x:is>
      </x:c>
      <x:c r="C79" s="4" t="str">
        <x:v>CORRECT_REJECTION</x:v>
      </x:c>
      <x:c r="D79" s="4" t="str">
        <x:v>MEDIUM</x:v>
      </x:c>
      <x:c r="E79" s="4" t="str">
        <x:v>FALSE</x:v>
      </x:c>
      <x:c r="F79" s="5" t="n">
        <x:v>46240</x:v>
      </x:c>
      <x:c r="G79" s="6" t="str">
        <x:v>The rejected candidate is social-clause management software, not Jules Verne press monitoring. Later same-buyer notices did not reveal a plausible continuation of that monitoring need.</x:v>
      </x:c>
      <x:c r="H79" t="inlineStr">
        <x:is>
          <x:t xml:space="preserve">19-16942</x:t>
        </x:is>
      </x:c>
      <x:c r="I79" t="inlineStr">
        <x:is>
          <x:t xml:space="preserve">19-158679</x:t>
        </x:is>
      </x:c>
      <x:c r="J79" t="inlineStr">
        <x:is>
          <x:t xml:space="preserve"/>
        </x:is>
      </x:c>
      <x:c r="K79" t="inlineStr">
        <x:is>
          <x:t xml:space="preserve"/>
        </x:is>
      </x:c>
      <x:c r="L79" t="inlineStr">
        <x:is>
          <x:t xml:space="preserve">NOT_LINKED</x:t>
        </x:is>
      </x:c>
      <x:c r="M79" t="inlineStr">
        <x:is>
          <x:t xml:space="preserve">NOT_LINKED</x:t>
        </x:is>
      </x:c>
      <x:c r="N79" t="inlineStr">
        <x:is>
          <x:t xml:space="preserve">Nantes Métropole</x:t>
        </x:is>
      </x:c>
      <x:c r="O79" t="inlineStr">
        <x:is>
          <x:t xml:space="preserve">NAME_FALLBACK</x:t>
        </x:is>
      </x:c>
      <x:c r="P79" t="inlineStr">
        <x:is>
          <x:t xml:space="preserve">182</x:t>
        </x:is>
      </x:c>
      <x:c r="Q79" t="inlineStr">
        <x:is>
          <x:t xml:space="preserve">2019-02-03</x:t>
        </x:is>
      </x:c>
      <x:c r="R79" t="inlineStr">
        <x:is>
          <x:t xml:space="preserve">2019-10-18</x:t>
        </x:is>
      </x:c>
      <x:c r="S79" t="inlineStr">
        <x:is>
          <x:t xml:space="preserve">8.442838370565045</x:t>
        </x:is>
      </x:c>
      <x:c r="T79" t="inlineStr">
        <x:is>
          <x:t xml:space="preserve">72318000.0</x:t>
        </x:is>
      </x:c>
      <x:c r="U79" t="inlineStr">
        <x:is>
          <x:t xml:space="preserve">DIGITAL_ICT</x:t>
        </x:is>
      </x:c>
      <x:c r="V79" t="inlineStr">
        <x:is>
          <x:t xml:space="preserve">True</x:t>
        </x:is>
      </x:c>
      <x:c r="W79" t="inlineStr">
        <x:is>
          <x:t xml:space="preserve">0.0057956206738157</x:t>
        </x:is>
      </x:c>
      <x:c r="X79" t="inlineStr">
        <x:is>
          <x:t xml:space="preserve">0.1</x:t>
        </x:is>
      </x:c>
      <x:c r="Y79" t="inlineStr">
        <x:is>
          <x:t xml:space="preserve">0.9014454664914586</x:t>
        </x:is>
      </x:c>
      <x:c r="Z79" t="inlineStr">
        <x:is>
          <x:t xml:space="preserve">0.6</x:t>
        </x:is>
      </x:c>
      <x:c r="AA79" t="inlineStr">
        <x:is>
          <x:t xml:space="preserve">0.3173898338587002</x:t>
        </x:is>
      </x:c>
      <x:c r="AB79" t="inlineStr">
        <x:is>
          <x:t xml:space="preserve"/>
        </x:is>
      </x:c>
      <x:c r="AC79" t="inlineStr">
        <x:is>
          <x:t xml:space="preserve">9.781777857553742e-05</x:t>
        </x:is>
      </x:c>
      <x:c r="AD79" t="inlineStr">
        <x:is>
          <x:t xml:space="preserve">23</x:t>
        </x:is>
      </x:c>
      <x:c r="AE79" s="2" t="inlineStr">
        <x:is>
          <x:t xml:space="preserve">Mission de veille de la presse écrite, audiovisuelle et du web sur le thème " jules verne " au profit du musée Jules Verne de Nantes métropole.</x:t>
        </x:is>
      </x:c>
      <x:c r="AF79" s="2" t="inlineStr">
        <x:is>
          <x:t xml:space="preserve">acquisition d'une solution logicielle de gestion des clauses sociales dans les marchés publics</x:t>
        </x:is>
      </x:c>
      <x:c r="AG79" t="inlineStr">
        <x:is>
          <x:t xml:space="preserve">REJECTED_COMPOSITE_TOP_CANDIDATE</x:t>
        </x:is>
      </x:c>
      <x:c r="AH79" t="inlineStr">
        <x:is>
          <x:t xml:space="preserve">primary_gbm@0.230964__baseline_composite@0.343167</x:t>
        </x:is>
      </x:c>
      <x:c r="AI79" t="inlineStr">
        <x:is>
          <x:t xml:space="preserve">real_boamp_layer1</x:t>
        </x:is>
      </x:c>
    </x:row>
    <x:row r="80" ht="48" customHeight="1">
      <x:c r="A80" s="4" t="inlineStr">
        <x:is>
          <x:t xml:space="preserve">AUDIT-079</x:t>
        </x:is>
      </x:c>
      <x:c r="B80" s="4" t="inlineStr">
        <x:is>
          <x:t xml:space="preserve">rejected_composite_top_candidate</x:t>
        </x:is>
      </x:c>
      <x:c r="C80" s="4" t="str">
        <x:v>CORRECT_REJECTION</x:v>
      </x:c>
      <x:c r="D80" s="4" t="str">
        <x:v>MEDIUM</x:v>
      </x:c>
      <x:c r="E80" s="4" t="str">
        <x:v>FALSE</x:v>
      </x:c>
      <x:c r="F80" s="5" t="n">
        <x:v>46240</x:v>
      </x:c>
      <x:c r="G80" s="6" t="str">
        <x:v>The rejected candidate is video protection, not telephony-system renewal. The small same-buyer search set contained no plausible telephony successor.</x:v>
      </x:c>
      <x:c r="H80" t="inlineStr">
        <x:is>
          <x:t xml:space="preserve">22-139769</x:t>
        </x:is>
      </x:c>
      <x:c r="I80" t="inlineStr">
        <x:is>
          <x:t xml:space="preserve">23-66268</x:t>
        </x:is>
      </x:c>
      <x:c r="J80" t="inlineStr">
        <x:is>
          <x:t xml:space="preserve"/>
        </x:is>
      </x:c>
      <x:c r="K80" t="inlineStr">
        <x:is>
          <x:t xml:space="preserve"/>
        </x:is>
      </x:c>
      <x:c r="L80" t="inlineStr">
        <x:is>
          <x:t xml:space="preserve">NOT_LINKED</x:t>
        </x:is>
      </x:c>
      <x:c r="M80" t="inlineStr">
        <x:is>
          <x:t xml:space="preserve">NOT_LINKED</x:t>
        </x:is>
      </x:c>
      <x:c r="N80" t="inlineStr">
        <x:is>
          <x:t xml:space="preserve">Ville de Chemillé en Anjou</x:t>
        </x:is>
      </x:c>
      <x:c r="O80" t="inlineStr">
        <x:is>
          <x:t xml:space="preserve">RAW_SIRET</x:t>
        </x:is>
      </x:c>
      <x:c r="P80" t="inlineStr">
        <x:is>
          <x:t xml:space="preserve">2</x:t>
        </x:is>
      </x:c>
      <x:c r="Q80" t="inlineStr">
        <x:is>
          <x:t xml:space="preserve">2022-10-18</x:t>
        </x:is>
      </x:c>
      <x:c r="R80" t="inlineStr">
        <x:is>
          <x:t xml:space="preserve">2023-05-17</x:t>
        </x:is>
      </x:c>
      <x:c r="S80" t="inlineStr">
        <x:is>
          <x:t xml:space="preserve">6.931668856767411</x:t>
        </x:is>
      </x:c>
      <x:c r="T80" t="inlineStr">
        <x:is>
          <x:t xml:space="preserve">32550000.0</x:t>
        </x:is>
      </x:c>
      <x:c r="U80" t="inlineStr">
        <x:is>
          <x:t xml:space="preserve">DIGITAL_ICT</x:t>
        </x:is>
      </x:c>
      <x:c r="V80" t="inlineStr">
        <x:is>
          <x:t xml:space="preserve">True</x:t>
        </x:is>
      </x:c>
      <x:c r="W80" t="inlineStr">
        <x:is>
          <x:t xml:space="preserve">0.0923719680156867</x:t>
        </x:is>
      </x:c>
      <x:c r="X80" t="inlineStr">
        <x:is>
          <x:t xml:space="preserve">0.2</x:t>
        </x:is>
      </x:c>
      <x:c r="Y80" t="inlineStr">
        <x:is>
          <x:t xml:space="preserve">0.5181778361804643</x:t>
        </x:is>
      </x:c>
      <x:c r="Z80" t="inlineStr">
        <x:is>
          <x:t xml:space="preserve">1.0</x:t>
        </x:is>
      </x:c>
      <x:c r="AA80" t="inlineStr">
        <x:is>
          <x:t xml:space="preserve">0.3218746478506065</x:t>
        </x:is>
      </x:c>
      <x:c r="AB80" t="inlineStr">
        <x:is>
          <x:t xml:space="preserve"/>
        </x:is>
      </x:c>
      <x:c r="AC80" t="inlineStr">
        <x:is>
          <x:t xml:space="preserve">0.3218746478506065</x:t>
        </x:is>
      </x:c>
      <x:c r="AD80" t="inlineStr">
        <x:is>
          <x:t xml:space="preserve">1</x:t>
        </x:is>
      </x:c>
      <x:c r="AE80" s="2" t="inlineStr">
        <x:is>
          <x:t xml:space="preserve">Refonte du système de téléphonie</x:t>
        </x:is>
      </x:c>
      <x:c r="AF80" s="2" t="inlineStr">
        <x:is>
          <x:t xml:space="preserve">Fourniture, installation et maintenance d'un système de vidéo-protection sur le territoire de la commune de Chemillé-en-Anjou</x:t>
        </x:is>
      </x:c>
      <x:c r="AG80" t="inlineStr">
        <x:is>
          <x:t xml:space="preserve">REJECTED_COMPOSITE_TOP_CANDIDATE</x:t>
        </x:is>
      </x:c>
      <x:c r="AH80" t="inlineStr">
        <x:is>
          <x:t xml:space="preserve">primary_gbm@0.230964__baseline_composite@0.343167</x:t>
        </x:is>
      </x:c>
      <x:c r="AI80" t="inlineStr">
        <x:is>
          <x:t xml:space="preserve">real_boamp_layer1</x:t>
        </x:is>
      </x:c>
    </x:row>
    <x:row r="81" ht="48" customHeight="1">
      <x:c r="A81" s="4" t="inlineStr">
        <x:is>
          <x:t xml:space="preserve">AUDIT-080</x:t>
        </x:is>
      </x:c>
      <x:c r="B81" s="4" t="inlineStr">
        <x:is>
          <x:t xml:space="preserve">rejected_composite_top_candidate</x:t>
        </x:is>
      </x:c>
      <x:c r="C81" s="4" t="str">
        <x:v>CORRECT_REJECTION</x:v>
      </x:c>
      <x:c r="D81" s="4" t="str">
        <x:v>MEDIUM</x:v>
      </x:c>
      <x:c r="E81" s="4" t="str">
        <x:v>FALSE</x:v>
      </x:c>
      <x:c r="F81" s="5" t="n">
        <x:v>46240</x:v>
      </x:c>
      <x:c r="G81" s="6" t="str">
        <x:v>The rejected candidate is ADEME IT infrastructure, not the SaaS colloquium-management solution. No plausible same-buyer successor was found.</x:v>
      </x:c>
      <x:c r="H81" t="inlineStr">
        <x:is>
          <x:t xml:space="preserve">16-1046</x:t>
        </x:is>
      </x:c>
      <x:c r="I81" t="inlineStr">
        <x:is>
          <x:t xml:space="preserve">16-93714</x:t>
        </x:is>
      </x:c>
      <x:c r="J81" t="inlineStr">
        <x:is>
          <x:t xml:space="preserve"/>
        </x:is>
      </x:c>
      <x:c r="K81" t="inlineStr">
        <x:is>
          <x:t xml:space="preserve"/>
        </x:is>
      </x:c>
      <x:c r="L81" t="inlineStr">
        <x:is>
          <x:t xml:space="preserve">NOT_LINKED</x:t>
        </x:is>
      </x:c>
      <x:c r="M81" t="inlineStr">
        <x:is>
          <x:t xml:space="preserve">NOT_LINKED</x:t>
        </x:is>
      </x:c>
      <x:c r="N81" t="inlineStr">
        <x:is>
          <x:t xml:space="preserve">ADEME</x:t>
        </x:is>
      </x:c>
      <x:c r="O81" t="inlineStr">
        <x:is>
          <x:t xml:space="preserve">NAME_FALLBACK</x:t>
        </x:is>
      </x:c>
      <x:c r="P81" t="inlineStr">
        <x:is>
          <x:t xml:space="preserve">10</x:t>
        </x:is>
      </x:c>
      <x:c r="Q81" t="inlineStr">
        <x:is>
          <x:t xml:space="preserve">2016-01-18</x:t>
        </x:is>
      </x:c>
      <x:c r="R81" t="inlineStr">
        <x:is>
          <x:t xml:space="preserve">2016-07-02</x:t>
        </x:is>
      </x:c>
      <x:c r="S81" t="inlineStr">
        <x:is>
          <x:t xml:space="preserve">5.45335085413929</x:t>
        </x:is>
      </x:c>
      <x:c r="T81" t="inlineStr">
        <x:is>
          <x:t xml:space="preserve">72212500.0</x:t>
        </x:is>
      </x:c>
      <x:c r="U81" t="inlineStr">
        <x:is>
          <x:t xml:space="preserve">DIGITAL_ICT</x:t>
        </x:is>
      </x:c>
      <x:c r="V81" t="inlineStr">
        <x:is>
          <x:t xml:space="preserve">True</x:t>
        </x:is>
      </x:c>
      <x:c r="W81" t="inlineStr">
        <x:is>
          <x:t xml:space="preserve">0.0675629384665417</x:t>
        </x:is>
      </x:c>
      <x:c r="X81" t="inlineStr">
        <x:is>
          <x:t xml:space="preserve">0.0</x:t>
        </x:is>
      </x:c>
      <x:c r="Y81" t="inlineStr">
        <x:is>
          <x:t xml:space="preserve">0.9123959702146298</x:t>
        </x:is>
      </x:c>
      <x:c r="Z81" t="inlineStr">
        <x:is>
          <x:t xml:space="preserve">0.6</x:t>
        </x:is>
      </x:c>
      <x:c r="AA81" t="inlineStr">
        <x:is>
          <x:t xml:space="preserve">0.311746021016947</x:t>
        </x:is>
      </x:c>
      <x:c r="AB81" t="inlineStr">
        <x:is>
          <x:t xml:space="preserve"/>
        </x:is>
      </x:c>
      <x:c r="AC81" t="inlineStr">
        <x:is>
          <x:t xml:space="preserve">0.0898565473295271</x:t>
        </x:is>
      </x:c>
      <x:c r="AD81" t="inlineStr">
        <x:is>
          <x:t xml:space="preserve">2</x:t>
        </x:is>
      </x:c>
      <x:c r="AE81" s="2" t="inlineStr">
        <x:is>
          <x:t xml:space="preserve">Mise en oeuvre d'une solution de gestion des colloques en mode saas à Angers</x:t>
        </x:is>
      </x:c>
      <x:c r="AF81" s="2" t="inlineStr">
        <x:is>
          <x:t xml:space="preserve">Evolution de l'infrastructure informatique de l'ADEME à Angers</x:t>
        </x:is>
      </x:c>
      <x:c r="AG81" t="inlineStr">
        <x:is>
          <x:t xml:space="preserve">REJECTED_COMPOSITE_TOP_CANDIDATE</x:t>
        </x:is>
      </x:c>
      <x:c r="AH81" t="inlineStr">
        <x:is>
          <x:t xml:space="preserve">primary_gbm@0.230964__baseline_composite@0.343167</x:t>
        </x:is>
      </x:c>
      <x:c r="AI81" t="inlineStr">
        <x:is>
          <x:t xml:space="preserve">real_boamp_layer1</x:t>
        </x:is>
      </x:c>
    </x:row>
    <x:row r="82" ht="48" customHeight="1">
      <x:c r="A82" s="4" t="inlineStr">
        <x:is>
          <x:t xml:space="preserve">AUDIT-081</x:t>
        </x:is>
      </x:c>
      <x:c r="B82" s="4" t="inlineStr">
        <x:is>
          <x:t xml:space="preserve">rejected_composite_top_candidate</x:t>
        </x:is>
      </x:c>
      <x:c r="C82" s="4" t="str">
        <x:v>CORRECT_REJECTION</x:v>
      </x:c>
      <x:c r="D82" s="4" t="str">
        <x:v>MEDIUM</x:v>
      </x:c>
      <x:c r="E82" s="4" t="str">
        <x:v>FALSE</x:v>
      </x:c>
      <x:c r="F82" s="5" t="n">
        <x:v>46240</x:v>
      </x:c>
      <x:c r="G82" s="6" t="str">
        <x:v>The rejected candidate is broad digital-transformation assistance, not AMO for acquiring road/building project-management software. No clear later successor was found.</x:v>
      </x:c>
      <x:c r="H82" t="inlineStr">
        <x:is>
          <x:t xml:space="preserve">19-90783</x:t>
        </x:is>
      </x:c>
      <x:c r="I82" t="inlineStr">
        <x:is>
          <x:t xml:space="preserve">20-16042</x:t>
        </x:is>
      </x:c>
      <x:c r="J82" t="inlineStr">
        <x:is>
          <x:t xml:space="preserve"/>
        </x:is>
      </x:c>
      <x:c r="K82" t="inlineStr">
        <x:is>
          <x:t xml:space="preserve"/>
        </x:is>
      </x:c>
      <x:c r="L82" t="inlineStr">
        <x:is>
          <x:t xml:space="preserve">NOT_LINKED</x:t>
        </x:is>
      </x:c>
      <x:c r="M82" t="inlineStr">
        <x:is>
          <x:t xml:space="preserve">NOT_LINKED</x:t>
        </x:is>
      </x:c>
      <x:c r="N82" t="inlineStr">
        <x:is>
          <x:t xml:space="preserve">DEPARTEMENT DE LA SARTHE</x:t>
        </x:is>
      </x:c>
      <x:c r="O82" t="inlineStr">
        <x:is>
          <x:t xml:space="preserve">NAME_FALLBACK</x:t>
        </x:is>
      </x:c>
      <x:c r="P82" t="inlineStr">
        <x:is>
          <x:t xml:space="preserve">52</x:t>
        </x:is>
      </x:c>
      <x:c r="Q82" t="inlineStr">
        <x:is>
          <x:t xml:space="preserve">2019-06-13</x:t>
        </x:is>
      </x:c>
      <x:c r="R82" t="inlineStr">
        <x:is>
          <x:t xml:space="preserve">2020-01-31</x:t>
        </x:is>
      </x:c>
      <x:c r="S82" t="inlineStr">
        <x:is>
          <x:t xml:space="preserve">7.621550591327201</x:t>
        </x:is>
      </x:c>
      <x:c r="T82" t="inlineStr">
        <x:is>
          <x:t xml:space="preserve"/>
        </x:is>
      </x:c>
      <x:c r="U82" t="inlineStr">
        <x:is>
          <x:t xml:space="preserve">DIGITAL_ICT</x:t>
        </x:is>
      </x:c>
      <x:c r="V82" t="inlineStr">
        <x:is>
          <x:t xml:space="preserve">True</x:t>
        </x:is>
      </x:c>
      <x:c r="W82" t="inlineStr">
        <x:is>
          <x:t xml:space="preserve">0.1519325031478626</x:t>
        </x:is>
      </x:c>
      <x:c r="X82" t="inlineStr">
        <x:is>
          <x:t xml:space="preserve">0.1</x:t>
        </x:is>
      </x:c>
      <x:c r="Y82" t="inlineStr">
        <x:is>
          <x:t xml:space="preserve">0.731712658782304</x:t>
        </x:is>
      </x:c>
      <x:c r="Z82" t="inlineStr">
        <x:is>
          <x:t xml:space="preserve">0.6</x:t>
        </x:is>
      </x:c>
      <x:c r="AA82" t="inlineStr">
        <x:is>
          <x:t xml:space="preserve">0.3261045407973279</x:t>
        </x:is>
      </x:c>
      <x:c r="AB82" t="inlineStr">
        <x:is>
          <x:t xml:space="preserve"/>
        </x:is>
      </x:c>
      <x:c r="AC82" t="inlineStr">
        <x:is>
          <x:t xml:space="preserve">0.0009952051704951</x:t>
        </x:is>
      </x:c>
      <x:c r="AD82" t="inlineStr">
        <x:is>
          <x:t xml:space="preserve">9</x:t>
        </x:is>
      </x:c>
      <x:c r="AE82" s="2" t="inlineStr">
        <x:is>
          <x:t xml:space="preserve">Assistance à maitrise d'ouvrage en vue de l'acquisition d'un logiciel de conduite d'opération sur les domaines de l'ingénierie routière et bâtimentaire</x:t>
        </x:is>
      </x:c>
      <x:c r="AF82" s="2" t="inlineStr">
        <x:is>
          <x:t xml:space="preserve">ASSISTANCE A MAITRISE D'OUVRAGE RELATIVE À L'ACCOMPAGNEMENT À LA TRANSFORMATION NUMERIQUE DU DEPARTEMENT DE LA SARTHE</x:t>
        </x:is>
      </x:c>
      <x:c r="AG82" t="inlineStr">
        <x:is>
          <x:t xml:space="preserve">REJECTED_COMPOSITE_TOP_CANDIDATE</x:t>
        </x:is>
      </x:c>
      <x:c r="AH82" t="inlineStr">
        <x:is>
          <x:t xml:space="preserve">primary_gbm@0.230964__baseline_composite@0.343167</x:t>
        </x:is>
      </x:c>
      <x:c r="AI82" t="inlineStr">
        <x:is>
          <x:t xml:space="preserve">real_boamp_layer1</x:t>
        </x:is>
      </x:c>
    </x:row>
    <x:row r="83" ht="48" customHeight="1">
      <x:c r="A83" s="4" t="inlineStr">
        <x:is>
          <x:t xml:space="preserve">AUDIT-082</x:t>
        </x:is>
      </x:c>
      <x:c r="B83" s="4" t="inlineStr">
        <x:is>
          <x:t xml:space="preserve">rejected_composite_top_candidate</x:t>
        </x:is>
      </x:c>
      <x:c r="C83" s="4" t="str">
        <x:v>CORRECT_REJECTION</x:v>
      </x:c>
      <x:c r="D83" s="4" t="str">
        <x:v>MEDIUM</x:v>
      </x:c>
      <x:c r="E83" s="4" t="str">
        <x:v>FALSE</x:v>
      </x:c>
      <x:c r="F83" s="5" t="n">
        <x:v>46240</x:v>
      </x:c>
      <x:c r="G83" s="6" t="str">
        <x:v>The rejected candidate is school PBX maintenance, not IT equipment for elected representatives. No same-buyer notice with the same beneficiary and equipment scope was found.</x:v>
      </x:c>
      <x:c r="H83" t="inlineStr">
        <x:is>
          <x:t xml:space="preserve">15-115319</x:t>
        </x:is>
      </x:c>
      <x:c r="I83" t="inlineStr">
        <x:is>
          <x:t xml:space="preserve">16-85619</x:t>
        </x:is>
      </x:c>
      <x:c r="J83" t="inlineStr">
        <x:is>
          <x:t xml:space="preserve"/>
        </x:is>
      </x:c>
      <x:c r="K83" t="inlineStr">
        <x:is>
          <x:t xml:space="preserve"/>
        </x:is>
      </x:c>
      <x:c r="L83" t="inlineStr">
        <x:is>
          <x:t xml:space="preserve">NOT_LINKED</x:t>
        </x:is>
      </x:c>
      <x:c r="M83" t="inlineStr">
        <x:is>
          <x:t xml:space="preserve">NOT_LINKED</x:t>
        </x:is>
      </x:c>
      <x:c r="N83" t="inlineStr">
        <x:is>
          <x:t xml:space="preserve">Conseil régional des Pays de la Loire</x:t>
        </x:is>
      </x:c>
      <x:c r="O83" t="inlineStr">
        <x:is>
          <x:t xml:space="preserve">NAME_FALLBACK</x:t>
        </x:is>
      </x:c>
      <x:c r="P83" t="inlineStr">
        <x:is>
          <x:t xml:space="preserve">70</x:t>
        </x:is>
      </x:c>
      <x:c r="Q83" t="inlineStr">
        <x:is>
          <x:t xml:space="preserve">2015-07-27</x:t>
        </x:is>
      </x:c>
      <x:c r="R83" t="inlineStr">
        <x:is>
          <x:t xml:space="preserve">2016-06-13</x:t>
        </x:is>
      </x:c>
      <x:c r="S83" t="inlineStr">
        <x:is>
          <x:t xml:space="preserve">10.578186596583445</x:t>
        </x:is>
      </x:c>
      <x:c r="T83" t="inlineStr">
        <x:is>
          <x:t xml:space="preserve">30230000.0</x:t>
        </x:is>
      </x:c>
      <x:c r="U83" t="inlineStr">
        <x:is>
          <x:t xml:space="preserve">DIGITAL_ICT</x:t>
        </x:is>
      </x:c>
      <x:c r="V83" t="inlineStr">
        <x:is>
          <x:t xml:space="preserve">True</x:t>
        </x:is>
      </x:c>
      <x:c r="W83" t="inlineStr">
        <x:is>
          <x:t xml:space="preserve">0.0216129944445124</x:t>
        </x:is>
      </x:c>
      <x:c r="X83" t="inlineStr">
        <x:is>
          <x:t xml:space="preserve">0.0</x:t>
        </x:is>
      </x:c>
      <x:c r="Y83" t="inlineStr">
        <x:is>
          <x:t xml:space="preserve">0.9671484888304862</x:t>
        </x:is>
      </x:c>
      <x:c r="Z83" t="inlineStr">
        <x:is>
          <x:t xml:space="preserve">0.6</x:t>
        </x:is>
      </x:c>
      <x:c r="AA83" t="inlineStr">
        <x:is>
          <x:t xml:space="preserve">0.3093516702632009</x:t>
        </x:is>
      </x:c>
      <x:c r="AB83" t="inlineStr">
        <x:is>
          <x:t xml:space="preserve"/>
        </x:is>
      </x:c>
      <x:c r="AC83" t="inlineStr">
        <x:is>
          <x:t xml:space="preserve">0.0002500142294533</x:t>
        </x:is>
      </x:c>
      <x:c r="AD83" t="inlineStr">
        <x:is>
          <x:t xml:space="preserve">10</x:t>
        </x:is>
      </x:c>
      <x:c r="AE83" s="2" t="inlineStr">
        <x:is>
          <x:t xml:space="preserve">équipement informatique des élus du conseil régional et membres du conseil économique social et environnemental à Nantes</x:t>
        </x:is>
      </x:c>
      <x:c r="AF83" s="2" t="inlineStr">
        <x:is>
          <x:t xml:space="preserve">Fourniture et maintenance des autocommutateurs des lycees publics de la région des pays de la Loire</x:t>
        </x:is>
      </x:c>
      <x:c r="AG83" t="inlineStr">
        <x:is>
          <x:t xml:space="preserve">REJECTED_COMPOSITE_TOP_CANDIDATE</x:t>
        </x:is>
      </x:c>
      <x:c r="AH83" t="inlineStr">
        <x:is>
          <x:t xml:space="preserve">primary_gbm@0.230964__baseline_composite@0.343167</x:t>
        </x:is>
      </x:c>
      <x:c r="AI83" t="inlineStr">
        <x:is>
          <x:t xml:space="preserve">real_boamp_layer1</x:t>
        </x:is>
      </x:c>
    </x:row>
    <x:row r="84" ht="48" customHeight="1">
      <x:c r="A84" s="4" t="inlineStr">
        <x:is>
          <x:t xml:space="preserve">AUDIT-083</x:t>
        </x:is>
      </x:c>
      <x:c r="B84" s="4" t="inlineStr">
        <x:is>
          <x:t xml:space="preserve">rejected_composite_top_candidate</x:t>
        </x:is>
      </x:c>
      <x:c r="C84" s="4" t="str">
        <x:v>CORRECT_REJECTION</x:v>
      </x:c>
      <x:c r="D84" s="4" t="str">
        <x:v>MEDIUM</x:v>
      </x:c>
      <x:c r="E84" s="4" t="str">
        <x:v>FALSE</x:v>
      </x:c>
      <x:c r="F84" s="5" t="n">
        <x:v>46240</x:v>
      </x:c>
      <x:c r="G84" s="6" t="str">
        <x:v>The source is a Wi-Fi and mobile-device-management framework for schools; the rejected candidate is printing equipment. The later workstation-supply notice is also a different equipment need, so rejection is supported.</x:v>
      </x:c>
      <x:c r="H84" t="inlineStr">
        <x:is>
          <x:t xml:space="preserve">16-96174</x:t>
        </x:is>
      </x:c>
      <x:c r="I84" t="inlineStr">
        <x:is>
          <x:t xml:space="preserve">17-56452</x:t>
        </x:is>
      </x:c>
      <x:c r="J84" t="inlineStr">
        <x:is>
          <x:t xml:space="preserve"/>
        </x:is>
      </x:c>
      <x:c r="K84" t="inlineStr">
        <x:is>
          <x:t xml:space="preserve"/>
        </x:is>
      </x:c>
      <x:c r="L84" t="inlineStr">
        <x:is>
          <x:t xml:space="preserve">NOT_LINKED</x:t>
        </x:is>
      </x:c>
      <x:c r="M84" t="inlineStr">
        <x:is>
          <x:t xml:space="preserve">NOT_LINKED</x:t>
        </x:is>
      </x:c>
      <x:c r="N84" t="inlineStr">
        <x:is>
          <x:t xml:space="preserve">Conseil régional des Pays de la Loire</x:t>
        </x:is>
      </x:c>
      <x:c r="O84" t="inlineStr">
        <x:is>
          <x:t xml:space="preserve">RAW_SIRET</x:t>
        </x:is>
      </x:c>
      <x:c r="P84" t="inlineStr">
        <x:is>
          <x:t xml:space="preserve">85</x:t>
        </x:is>
      </x:c>
      <x:c r="Q84" t="inlineStr">
        <x:is>
          <x:t xml:space="preserve">2016-06-30</x:t>
        </x:is>
      </x:c>
      <x:c r="R84" t="inlineStr">
        <x:is>
          <x:t xml:space="preserve">2017-04-23</x:t>
        </x:is>
      </x:c>
      <x:c r="S84" t="inlineStr">
        <x:is>
          <x:t xml:space="preserve">9.756898817345595</x:t>
        </x:is>
      </x:c>
      <x:c r="T84" t="inlineStr">
        <x:is>
          <x:t xml:space="preserve">48810000.0</x:t>
        </x:is>
      </x:c>
      <x:c r="U84" t="inlineStr">
        <x:is>
          <x:t xml:space="preserve">DIGITAL_ICT</x:t>
        </x:is>
      </x:c>
      <x:c r="V84" t="inlineStr">
        <x:is>
          <x:t xml:space="preserve">True</x:t>
        </x:is>
      </x:c>
      <x:c r="W84" t="inlineStr">
        <x:is>
          <x:t xml:space="preserve">0.2011183683550453</x:t>
        </x:is>
      </x:c>
      <x:c r="X84" t="inlineStr">
        <x:is>
          <x:t xml:space="preserve">0.0</x:t>
        </x:is>
      </x:c>
      <x:c r="Y84" t="inlineStr">
        <x:is>
          <x:t xml:space="preserve">0.6714848883048621</x:t>
        </x:is>
      </x:c>
      <x:c r="Z84" t="inlineStr">
        <x:is>
          <x:t xml:space="preserve">1.0</x:t>
        </x:is>
      </x:c>
      <x:c r="AA84" t="inlineStr">
        <x:is>
          <x:t xml:space="preserve">0.3382626510004813</x:t>
        </x:is>
      </x:c>
      <x:c r="AB84" t="inlineStr">
        <x:is>
          <x:t xml:space="preserve"/>
        </x:is>
      </x:c>
      <x:c r="AC84" t="inlineStr">
        <x:is>
          <x:t xml:space="preserve">0.1201589065162962</x:t>
        </x:is>
      </x:c>
      <x:c r="AD84" t="inlineStr">
        <x:is>
          <x:t xml:space="preserve">4</x:t>
        </x:is>
      </x:c>
      <x:c r="AE84" s="2" t="inlineStr">
        <x:is>
          <x:t xml:space="preserve">SYSTEMES D'INFORMATION POUR LES LYCEES PUBLICS ET E.R.E.A DE LA REGION DES PAYS DE LA LOIRE</x:t>
        </x:is>
      </x:c>
      <x:c r="AF84" s="2" t="inlineStr">
        <x:is>
          <x:t xml:space="preserve">Location, maintenance et entretien des matériels et logiciels d'impression pour les services de la Région Pays de la Loire</x:t>
        </x:is>
      </x:c>
      <x:c r="AG84" t="inlineStr">
        <x:is>
          <x:t xml:space="preserve">REJECTED_COMPOSITE_TOP_CANDIDATE</x:t>
        </x:is>
      </x:c>
      <x:c r="AH84" t="inlineStr">
        <x:is>
          <x:t xml:space="preserve">primary_gbm@0.230964__baseline_composite@0.343167</x:t>
        </x:is>
      </x:c>
      <x:c r="AI84" t="inlineStr">
        <x:is>
          <x:t xml:space="preserve">real_boamp_layer1</x:t>
        </x:is>
      </x:c>
    </x:row>
    <x:row r="85" ht="48" customHeight="1">
      <x:c r="A85" s="4" t="inlineStr">
        <x:is>
          <x:t xml:space="preserve">AUDIT-084</x:t>
        </x:is>
      </x:c>
      <x:c r="B85" s="4" t="inlineStr">
        <x:is>
          <x:t xml:space="preserve">rejected_composite_top_candidate</x:t>
        </x:is>
      </x:c>
      <x:c r="C85" s="4" t="str">
        <x:v>CORRECT_REJECTION</x:v>
      </x:c>
      <x:c r="D85" s="4" t="str">
        <x:v>MEDIUM</x:v>
      </x:c>
      <x:c r="E85" s="4" t="str">
        <x:v>FALSE</x:v>
      </x:c>
      <x:c r="F85" s="5" t="n">
        <x:v>46240</x:v>
      </x:c>
      <x:c r="G85" s="6" t="str">
        <x:v>The source is a rectificatif for information-security policy support; the candidate concerns a decision-support information system. The pair is not a successor link, and the source rectificatif should be excluded from the survival base.</x:v>
      </x:c>
      <x:c r="H85" t="inlineStr">
        <x:is>
          <x:t xml:space="preserve">18-142763</x:t>
        </x:is>
      </x:c>
      <x:c r="I85" t="inlineStr">
        <x:is>
          <x:t xml:space="preserve">19-8964</x:t>
        </x:is>
      </x:c>
      <x:c r="J85" t="inlineStr">
        <x:is>
          <x:t xml:space="preserve"/>
        </x:is>
      </x:c>
      <x:c r="K85" t="inlineStr">
        <x:is>
          <x:t xml:space="preserve"/>
        </x:is>
      </x:c>
      <x:c r="L85" t="inlineStr">
        <x:is>
          <x:t xml:space="preserve">NOT_LINKED</x:t>
        </x:is>
      </x:c>
      <x:c r="M85" t="inlineStr">
        <x:is>
          <x:t xml:space="preserve">NOT_LINKED</x:t>
        </x:is>
      </x:c>
      <x:c r="N85" t="inlineStr">
        <x:is>
          <x:t xml:space="preserve">DEPARTEMENT DE LA SARTHE</x:t>
        </x:is>
      </x:c>
      <x:c r="O85" t="inlineStr">
        <x:is>
          <x:t xml:space="preserve">NAME_FALLBACK</x:t>
        </x:is>
      </x:c>
      <x:c r="P85" t="inlineStr">
        <x:is>
          <x:t xml:space="preserve">52</x:t>
        </x:is>
      </x:c>
      <x:c r="Q85" t="inlineStr">
        <x:is>
          <x:t xml:space="preserve">2018-10-11</x:t>
        </x:is>
      </x:c>
      <x:c r="R85" t="inlineStr">
        <x:is>
          <x:t xml:space="preserve">2019-01-17</x:t>
        </x:is>
      </x:c>
      <x:c r="S85" t="inlineStr">
        <x:is>
          <x:t xml:space="preserve">3.219448094612352</x:t>
        </x:is>
      </x:c>
      <x:c r="T85" t="inlineStr">
        <x:is>
          <x:t xml:space="preserve">79311000.0</x:t>
        </x:is>
      </x:c>
      <x:c r="U85" t="inlineStr">
        <x:is>
          <x:t xml:space="preserve">DIGITAL_ICT</x:t>
        </x:is>
      </x:c>
      <x:c r="V85" t="inlineStr">
        <x:is>
          <x:t xml:space="preserve">True</x:t>
        </x:is>
      </x:c>
      <x:c r="W85" t="inlineStr">
        <x:is>
          <x:t xml:space="preserve">0.1444620562708512</x:t>
        </x:is>
      </x:c>
      <x:c r="X85" t="inlineStr">
        <x:is>
          <x:t xml:space="preserve">0.0</x:t>
        </x:is>
      </x:c>
      <x:c r="Y85" t="inlineStr">
        <x:is>
          <x:t xml:space="preserve">0.7098116513359615</x:t>
        </x:is>
      </x:c>
      <x:c r="Z85" t="inlineStr">
        <x:is>
          <x:t xml:space="preserve">0.6</x:t>
        </x:is>
      </x:c>
      <x:c r="AA85" t="inlineStr">
        <x:is>
          <x:t xml:space="preserve">0.2880146325287883</x:t>
        </x:is>
      </x:c>
      <x:c r="AB85" t="inlineStr">
        <x:is>
          <x:t xml:space="preserve"/>
        </x:is>
      </x:c>
      <x:c r="AC85" t="inlineStr">
        <x:is>
          <x:t xml:space="preserve">0.0015620580640929</x:t>
        </x:is>
      </x:c>
      <x:c r="AD85" t="inlineStr">
        <x:is>
          <x:t xml:space="preserve">9</x:t>
        </x:is>
      </x:c>
      <x:c r="AE85" s="2" t="inlineStr">
        <x:is>
          <x:t xml:space="preserve">Accompagnement à l'élaboration et la mise en oeuvre de la politique de sécurité du système d'information du Département de la Sarthe</x:t>
        </x:is>
      </x:c>
      <x:c r="AF85" s="2" t="inlineStr">
        <x:is>
          <x:t xml:space="preserve">Prestations d'accompagnement à la mis en place d'un système d'information décisionnel</x:t>
        </x:is>
      </x:c>
      <x:c r="AG85" t="inlineStr">
        <x:is>
          <x:t xml:space="preserve">REJECTED_COMPOSITE_TOP_CANDIDATE</x:t>
        </x:is>
      </x:c>
      <x:c r="AH85" t="inlineStr">
        <x:is>
          <x:t xml:space="preserve">primary_gbm@0.230964__baseline_composite@0.343167</x:t>
        </x:is>
      </x:c>
      <x:c r="AI85" t="inlineStr">
        <x:is>
          <x:t xml:space="preserve">real_boamp_layer1</x:t>
        </x:is>
      </x:c>
    </x:row>
    <x:row r="86" ht="48" customHeight="1">
      <x:c r="A86" s="4" t="inlineStr">
        <x:is>
          <x:t xml:space="preserve">AUDIT-085</x:t>
        </x:is>
      </x:c>
      <x:c r="B86" s="4" t="inlineStr">
        <x:is>
          <x:t xml:space="preserve">rejected_composite_top_candidate</x:t>
        </x:is>
      </x:c>
      <x:c r="C86" s="4" t="str">
        <x:v>CORRECT_REJECTION</x:v>
      </x:c>
      <x:c r="D86" s="4" t="str">
        <x:v>MEDIUM</x:v>
      </x:c>
      <x:c r="E86" s="4" t="str">
        <x:v>FALSE</x:v>
      </x:c>
      <x:c r="F86" s="5" t="n">
        <x:v>46240</x:v>
      </x:c>
      <x:c r="G86" s="6" t="str">
        <x:v>The rejected candidate is hospital hypervision, not a cellular-therapy activity-management system. No later same-buyer notice matched the UTCG software need.</x:v>
      </x:c>
      <x:c r="H86" t="inlineStr">
        <x:is>
          <x:t xml:space="preserve">23-42778</x:t>
        </x:is>
      </x:c>
      <x:c r="I86" t="inlineStr">
        <x:is>
          <x:t xml:space="preserve">23-65504</x:t>
        </x:is>
      </x:c>
      <x:c r="J86" t="inlineStr">
        <x:is>
          <x:t xml:space="preserve"/>
        </x:is>
      </x:c>
      <x:c r="K86" t="inlineStr">
        <x:is>
          <x:t xml:space="preserve"/>
        </x:is>
      </x:c>
      <x:c r="L86" t="inlineStr">
        <x:is>
          <x:t xml:space="preserve">NOT_LINKED</x:t>
        </x:is>
      </x:c>
      <x:c r="M86" t="inlineStr">
        <x:is>
          <x:t xml:space="preserve">NOT_LINKED</x:t>
        </x:is>
      </x:c>
      <x:c r="N86" t="inlineStr">
        <x:is>
          <x:t xml:space="preserve">CHU de Nantes</x:t>
        </x:is>
      </x:c>
      <x:c r="O86" t="inlineStr">
        <x:is>
          <x:t xml:space="preserve">NAME_FALLBACK</x:t>
        </x:is>
      </x:c>
      <x:c r="P86" t="inlineStr">
        <x:is>
          <x:t xml:space="preserve">70</x:t>
        </x:is>
      </x:c>
      <x:c r="Q86" t="inlineStr">
        <x:is>
          <x:t xml:space="preserve">2023-04-01</x:t>
        </x:is>
      </x:c>
      <x:c r="R86" t="inlineStr">
        <x:is>
          <x:t xml:space="preserve">2023-05-14</x:t>
        </x:is>
      </x:c>
      <x:c r="S86" t="inlineStr">
        <x:is>
          <x:t xml:space="preserve">1.4126149802890933</x:t>
        </x:is>
      </x:c>
      <x:c r="T86" t="inlineStr">
        <x:is>
          <x:t xml:space="preserve">72212180.0</x:t>
        </x:is>
      </x:c>
      <x:c r="U86" t="inlineStr">
        <x:is>
          <x:t xml:space="preserve">DIGITAL_ICT</x:t>
        </x:is>
      </x:c>
      <x:c r="V86" t="inlineStr">
        <x:is>
          <x:t xml:space="preserve">True</x:t>
        </x:is>
      </x:c>
      <x:c r="W86" t="inlineStr">
        <x:is>
          <x:t xml:space="preserve">0.0719951852347064</x:t>
        </x:is>
      </x:c>
      <x:c r="X86" t="inlineStr">
        <x:is>
          <x:t xml:space="preserve">0.6</x:t>
        </x:is>
      </x:c>
      <x:c r="Y86" t="inlineStr">
        <x:is>
          <x:t xml:space="preserve">0.2334647393780113</x:t>
        </x:is>
      </x:c>
      <x:c r="Z86" t="inlineStr">
        <x:is>
          <x:t xml:space="preserve">0.6</x:t>
        </x:is>
      </x:c>
      <x:c r="AA86" t="inlineStr">
        <x:is>
          <x:t xml:space="preserve">0.3235644996766501</x:t>
        </x:is>
      </x:c>
      <x:c r="AB86" t="inlineStr">
        <x:is>
          <x:t xml:space="preserve"/>
        </x:is>
      </x:c>
      <x:c r="AC86" t="inlineStr">
        <x:is>
          <x:t xml:space="preserve">0.0694842618425015</x:t>
        </x:is>
      </x:c>
      <x:c r="AD86" t="inlineStr">
        <x:is>
          <x:t xml:space="preserve">3</x:t>
        </x:is>
      </x:c>
      <x:c r="AE86" s="2" t="inlineStr">
        <x:is>
          <x:t xml:space="preserve">Fourniture, Hébergement, Paramétrage, Intégration, Déploiement et Maintenance d'une Solution de Gestion des Activités de l'Unité de Thérapie Cellulaire et Génique (UTCG) du CHU de Nantes</x:t>
        </x:is>
      </x:c>
      <x:c r="AF86" s="2" t="inlineStr">
        <x:is>
          <x:t xml:space="preserve">Fourniture, installation et mise en oeuvre d'une solution d'Hypervision du nouvel ensemble hospitalo-universitaire dit 'Projet Ile de Nantes'</x:t>
        </x:is>
      </x:c>
      <x:c r="AG86" t="inlineStr">
        <x:is>
          <x:t xml:space="preserve">REJECTED_COMPOSITE_TOP_CANDIDATE</x:t>
        </x:is>
      </x:c>
      <x:c r="AH86" t="inlineStr">
        <x:is>
          <x:t xml:space="preserve">primary_gbm@0.230964__baseline_composite@0.343167</x:t>
        </x:is>
      </x:c>
      <x:c r="AI86" t="inlineStr">
        <x:is>
          <x:t xml:space="preserve">real_boamp_layer1</x:t>
        </x:is>
      </x:c>
    </x:row>
    <x:row r="87" ht="48" customHeight="1">
      <x:c r="A87" s="4" t="inlineStr">
        <x:is>
          <x:t xml:space="preserve">AUDIT-086</x:t>
        </x:is>
      </x:c>
      <x:c r="B87" s="4" t="inlineStr">
        <x:is>
          <x:t xml:space="preserve">rejected_composite_top_candidate</x:t>
        </x:is>
      </x:c>
      <x:c r="C87" s="4" t="str">
        <x:v>CORRECT_REJECTION</x:v>
      </x:c>
      <x:c r="D87" s="4" t="str">
        <x:v>MEDIUM</x:v>
      </x:c>
      <x:c r="E87" s="4" t="str">
        <x:v>FALSE</x:v>
      </x:c>
      <x:c r="F87" s="5" t="n">
        <x:v>46240</x:v>
      </x:c>
      <x:c r="G87" s="6" t="str">
        <x:v>The rejected candidate is a DT-DICT request platform, not digital-school equipment. Later same-buyer notices did not show a plausible replacement for the school equipment procurement.</x:v>
      </x:c>
      <x:c r="H87" t="inlineStr">
        <x:is>
          <x:t xml:space="preserve">21-24367</x:t>
        </x:is>
      </x:c>
      <x:c r="I87" t="inlineStr">
        <x:is>
          <x:t xml:space="preserve">22-94408</x:t>
        </x:is>
      </x:c>
      <x:c r="J87" t="inlineStr">
        <x:is>
          <x:t xml:space="preserve"/>
        </x:is>
      </x:c>
      <x:c r="K87" t="inlineStr">
        <x:is>
          <x:t xml:space="preserve"/>
        </x:is>
      </x:c>
      <x:c r="L87" t="inlineStr">
        <x:is>
          <x:t xml:space="preserve">NOT_LINKED</x:t>
        </x:is>
      </x:c>
      <x:c r="M87" t="inlineStr">
        <x:is>
          <x:t xml:space="preserve">NOT_LINKED</x:t>
        </x:is>
      </x:c>
      <x:c r="N87" t="inlineStr">
        <x:is>
          <x:t xml:space="preserve">COMMUNE DE SAINT NAZAIRE</x:t>
        </x:is>
      </x:c>
      <x:c r="O87" t="inlineStr">
        <x:is>
          <x:t xml:space="preserve">RAW_SIRET</x:t>
        </x:is>
      </x:c>
      <x:c r="P87" t="inlineStr">
        <x:is>
          <x:t xml:space="preserve">19</x:t>
        </x:is>
      </x:c>
      <x:c r="Q87" t="inlineStr">
        <x:is>
          <x:t xml:space="preserve">2021-02-24</x:t>
        </x:is>
      </x:c>
      <x:c r="R87" t="inlineStr">
        <x:is>
          <x:t xml:space="preserve">2022-07-06</x:t>
        </x:is>
      </x:c>
      <x:c r="S87" t="inlineStr">
        <x:is>
          <x:t xml:space="preserve">16.327201051248355</x:t>
        </x:is>
      </x:c>
      <x:c r="T87" t="inlineStr">
        <x:is>
          <x:t xml:space="preserve">30230000.0</x:t>
        </x:is>
      </x:c>
      <x:c r="U87" t="inlineStr">
        <x:is>
          <x:t xml:space="preserve">DIGITAL_ICT</x:t>
        </x:is>
      </x:c>
      <x:c r="V87" t="inlineStr">
        <x:is>
          <x:t xml:space="preserve">True</x:t>
        </x:is>
      </x:c>
      <x:c r="W87" t="inlineStr">
        <x:is>
          <x:t xml:space="preserve">0.0221137089824776</x:t>
        </x:is>
      </x:c>
      <x:c r="X87" t="inlineStr">
        <x:is>
          <x:t xml:space="preserve">0.0</x:t>
        </x:is>
      </x:c>
      <x:c r="Y87" t="inlineStr">
        <x:is>
          <x:t xml:space="preserve">0.8247919404292597</x:t>
        </x:is>
      </x:c>
      <x:c r="Z87" t="inlineStr">
        <x:is>
          <x:t xml:space="preserve">1.0</x:t>
        </x:is>
      </x:c>
      <x:c r="AA87" t="inlineStr">
        <x:is>
          <x:t xml:space="preserve">0.3139377832511821</x:t>
        </x:is>
      </x:c>
      <x:c r="AB87" t="inlineStr">
        <x:is>
          <x:t xml:space="preserve"/>
        </x:is>
      </x:c>
      <x:c r="AC87" t="inlineStr">
        <x:is>
          <x:t xml:space="preserve">0.3139377832511821</x:t>
        </x:is>
      </x:c>
      <x:c r="AD87" t="inlineStr">
        <x:is>
          <x:t xml:space="preserve">1</x:t>
        </x:is>
      </x:c>
      <x:c r="AE87" s="2" t="inlineStr">
        <x:is>
          <x:t xml:space="preserve">Acquisition et maintenance des matériels de l'école numérique</x:t>
        </x:is>
      </x:c>
      <x:c r="AF87" s="2" t="inlineStr">
        <x:is>
          <x:t xml:space="preserve">Mise à disposition d'une solution de traitement des demandes et des réponses aux Dt-Dict-Atu sur une plateforme dématérialisée</x:t>
        </x:is>
      </x:c>
      <x:c r="AG87" t="inlineStr">
        <x:is>
          <x:t xml:space="preserve">REJECTED_COMPOSITE_TOP_CANDIDATE</x:t>
        </x:is>
      </x:c>
      <x:c r="AH87" t="inlineStr">
        <x:is>
          <x:t xml:space="preserve">primary_gbm@0.230964__baseline_composite@0.343167</x:t>
        </x:is>
      </x:c>
      <x:c r="AI87" t="inlineStr">
        <x:is>
          <x:t xml:space="preserve">real_boamp_layer1</x:t>
        </x:is>
      </x:c>
    </x:row>
    <x:row r="88" ht="48" customHeight="1">
      <x:c r="A88" s="4" t="inlineStr">
        <x:is>
          <x:t xml:space="preserve">AUDIT-087</x:t>
        </x:is>
      </x:c>
      <x:c r="B88" s="4" t="inlineStr">
        <x:is>
          <x:t xml:space="preserve">rejected_far_below</x:t>
        </x:is>
      </x:c>
      <x:c r="C88" s="4" t="str">
        <x:v>CORRECT_REJECTION</x:v>
      </x:c>
      <x:c r="D88" s="4" t="str">
        <x:v>MEDIUM</x:v>
      </x:c>
      <x:c r="E88" s="4" t="str">
        <x:v>FALSE</x:v>
      </x:c>
      <x:c r="F88" s="5" t="n">
        <x:v>46240</x:v>
      </x:c>
      <x:c r="G88" s="6" t="str">
        <x:v>The rejected candidate is maintenance of physical security installations, not project-evaluation/expertise support. The objects are materially different and no plausible successor was found.</x:v>
      </x:c>
      <x:c r="H88" t="inlineStr">
        <x:is>
          <x:t xml:space="preserve">25-73236</x:t>
        </x:is>
      </x:c>
      <x:c r="I88" t="inlineStr">
        <x:is>
          <x:t xml:space="preserve">26-23402</x:t>
        </x:is>
      </x:c>
      <x:c r="J88" t="inlineStr">
        <x:is>
          <x:t xml:space="preserve"/>
        </x:is>
      </x:c>
      <x:c r="K88" t="inlineStr">
        <x:is>
          <x:t xml:space="preserve"/>
        </x:is>
      </x:c>
      <x:c r="L88" t="inlineStr">
        <x:is>
          <x:t xml:space="preserve">NOT_LINKED</x:t>
        </x:is>
      </x:c>
      <x:c r="M88" t="inlineStr">
        <x:is>
          <x:t xml:space="preserve">NOT_LINKED</x:t>
        </x:is>
      </x:c>
      <x:c r="N88" t="inlineStr">
        <x:is>
          <x:t xml:space="preserve">Nantes Université</x:t>
        </x:is>
      </x:c>
      <x:c r="O88" t="inlineStr">
        <x:is>
          <x:t xml:space="preserve">RAW_SIRET</x:t>
        </x:is>
      </x:c>
      <x:c r="P88" t="inlineStr">
        <x:is>
          <x:t xml:space="preserve">7</x:t>
        </x:is>
      </x:c>
      <x:c r="Q88" t="inlineStr">
        <x:is>
          <x:t xml:space="preserve">2025-07-01</x:t>
        </x:is>
      </x:c>
      <x:c r="R88" t="inlineStr">
        <x:is>
          <x:t xml:space="preserve">2026-03-08</x:t>
        </x:is>
      </x:c>
      <x:c r="S88" t="inlineStr">
        <x:is>
          <x:t xml:space="preserve">8.21287779237845</x:t>
        </x:is>
      </x:c>
      <x:c r="T88" t="inlineStr">
        <x:is>
          <x:t xml:space="preserve">72224000.0</x:t>
        </x:is>
      </x:c>
      <x:c r="U88" t="inlineStr">
        <x:is>
          <x:t xml:space="preserve">DIGITAL_ICT</x:t>
        </x:is>
      </x:c>
      <x:c r="V88" t="inlineStr">
        <x:is>
          <x:t xml:space="preserve">False</x:t>
        </x:is>
      </x:c>
      <x:c r="W88" t="inlineStr">
        <x:is>
          <x:t xml:space="preserve">0.0360269036393845</x:t>
        </x:is>
      </x:c>
      <x:c r="X88" t="inlineStr">
        <x:is>
          <x:t xml:space="preserve">0.0</x:t>
        </x:is>
      </x:c>
      <x:c r="Y88" t="inlineStr">
        <x:is>
          <x:t xml:space="preserve">0.6386333771353483</x:t>
        </x:is>
      </x:c>
      <x:c r="Z88" t="inlineStr">
        <x:is>
          <x:t xml:space="preserve">1.0</x:t>
        </x:is>
      </x:c>
      <x:c r="AA88" t="inlineStr">
        <x:is>
          <x:t xml:space="preserve">0.2722677605576217</x:t>
        </x:is>
      </x:c>
      <x:c r="AB88" t="inlineStr">
        <x:is>
          <x:t xml:space="preserve"/>
        </x:is>
      </x:c>
      <x:c r="AC88" t="inlineStr">
        <x:is>
          <x:t xml:space="preserve">0.0081577921985913</x:t>
        </x:is>
      </x:c>
      <x:c r="AD88" t="inlineStr">
        <x:is>
          <x:t xml:space="preserve">2</x:t>
        </x:is>
      </x:c>
      <x:c r="AE88" s="2" t="inlineStr">
        <x:is>
          <x:t xml:space="preserve">Accord-cadre relatif aux prestations d’évaluation, d’expertise et d’appui au montage de projets pour Nantes Université</x:t>
        </x:is>
      </x:c>
      <x:c r="AF88" s="2" t="inlineStr">
        <x:is>
          <x:t xml:space="preserve">Prestations de maintenance des installations de surete, intrusion, telesurveillance, interphonie et acces automatiques de Nantes Universite</x:t>
        </x:is>
      </x:c>
      <x:c r="AG88" t="inlineStr">
        <x:is>
          <x:t xml:space="preserve">REJECTED_FAR_BELOW</x:t>
        </x:is>
      </x:c>
      <x:c r="AH88" t="inlineStr">
        <x:is>
          <x:t xml:space="preserve">primary_gbm@0.230964__baseline_composite@0.343167</x:t>
        </x:is>
      </x:c>
      <x:c r="AI88" t="inlineStr">
        <x:is>
          <x:t xml:space="preserve">real_boamp_layer1</x:t>
        </x:is>
      </x:c>
    </x:row>
    <x:row r="89" ht="48" customHeight="1">
      <x:c r="A89" s="4" t="inlineStr">
        <x:is>
          <x:t xml:space="preserve">AUDIT-088</x:t>
        </x:is>
      </x:c>
      <x:c r="B89" s="4" t="inlineStr">
        <x:is>
          <x:t xml:space="preserve">rejected_far_below</x:t>
        </x:is>
      </x:c>
      <x:c r="C89" s="4" t="str">
        <x:v>MISSED_LINK</x:v>
      </x:c>
      <x:c r="D89" s="4" t="str">
        <x:v>HIGH</x:v>
      </x:c>
      <x:c r="E89" s="4" t="str">
        <x:v>FALSE</x:v>
      </x:c>
      <x:c r="F89" s="5" t="n">
        <x:v>46240</x:v>
      </x:c>
      <x:c r="G89" s="6" t="str">
        <x:v>The reviewed candidate is unrelated Microsoft support, but BOAMP notice 20-144067 from the same buyer, about 38 months later, is explicitly for maintenance, supply and installation of the tourist webcam fleet. That matches the source three-year webcam need and is a plausible missed successor.</x:v>
      </x:c>
      <x:c r="H89" t="inlineStr">
        <x:is>
          <x:t xml:space="preserve">17-135696</x:t>
        </x:is>
      </x:c>
      <x:c r="I89" t="inlineStr">
        <x:is>
          <x:t xml:space="preserve">18-17886</x:t>
        </x:is>
      </x:c>
      <x:c r="J89" t="inlineStr">
        <x:is>
          <x:t xml:space="preserve"/>
        </x:is>
      </x:c>
      <x:c r="K89" t="inlineStr">
        <x:is>
          <x:t xml:space="preserve"/>
        </x:is>
      </x:c>
      <x:c r="L89" t="inlineStr">
        <x:is>
          <x:t xml:space="preserve">NOT_LINKED</x:t>
        </x:is>
      </x:c>
      <x:c r="M89" t="inlineStr">
        <x:is>
          <x:t xml:space="preserve">NOT_LINKED</x:t>
        </x:is>
      </x:c>
      <x:c r="N89" t="inlineStr">
        <x:is>
          <x:t xml:space="preserve">Département de la Vendée</x:t>
        </x:is>
      </x:c>
      <x:c r="O89" t="inlineStr">
        <x:is>
          <x:t xml:space="preserve">NAME_FALLBACK</x:t>
        </x:is>
      </x:c>
      <x:c r="P89" t="inlineStr">
        <x:is>
          <x:t xml:space="preserve">28</x:t>
        </x:is>
      </x:c>
      <x:c r="Q89" t="inlineStr">
        <x:is>
          <x:t xml:space="preserve">2017-09-26</x:t>
        </x:is>
      </x:c>
      <x:c r="R89" t="inlineStr">
        <x:is>
          <x:t xml:space="preserve">2018-02-07</x:t>
        </x:is>
      </x:c>
      <x:c r="S89" t="inlineStr">
        <x:is>
          <x:t xml:space="preserve">4.402102496714849</x:t>
        </x:is>
      </x:c>
      <x:c r="T89" t="inlineStr">
        <x:is>
          <x:t xml:space="preserve">72315200.0</x:t>
        </x:is>
      </x:c>
      <x:c r="U89" t="inlineStr">
        <x:is>
          <x:t xml:space="preserve">DIGITAL_ICT</x:t>
        </x:is>
      </x:c>
      <x:c r="V89" t="inlineStr">
        <x:is>
          <x:t xml:space="preserve">True</x:t>
        </x:is>
      </x:c>
      <x:c r="W89" t="inlineStr">
        <x:is>
          <x:t xml:space="preserve">0.0333096023190449</x:t>
        </x:is>
      </x:c>
      <x:c r="X89" t="inlineStr">
        <x:is>
          <x:t xml:space="preserve">0.2</x:t>
        </x:is>
      </x:c>
      <x:c r="Y89" t="inlineStr">
        <x:is>
          <x:t xml:space="preserve">0.3046430135786245</x:t>
        </x:is>
      </x:c>
      <x:c r="Z89" t="inlineStr">
        <x:is>
          <x:t xml:space="preserve">0.6</x:t>
        </x:is>
      </x:c>
      <x:c r="AA89" t="inlineStr">
        <x:is>
          <x:t xml:space="preserve">0.2078191142063218</x:t>
        </x:is>
      </x:c>
      <x:c r="AB89" t="inlineStr">
        <x:is>
          <x:t xml:space="preserve"/>
        </x:is>
      </x:c>
      <x:c r="AC89" t="inlineStr">
        <x:is>
          <x:t xml:space="preserve">0.2078191142063218</x:t>
        </x:is>
      </x:c>
      <x:c r="AD89" t="inlineStr">
        <x:is>
          <x:t xml:space="preserve">1</x:t>
        </x:is>
      </x:c>
      <x:c r="AE89" s="2" t="inlineStr">
        <x:is>
          <x:t xml:space="preserve">Fourniture, installation et maintenance de webcams sur des sites vendéens</x:t>
        </x:is>
      </x:c>
      <x:c r="AF89" s="2" t="inlineStr">
        <x:is>
          <x:t xml:space="preserve">Assistance technique et prestations d'experts sur l'environnement Microsoft</x:t>
        </x:is>
      </x:c>
      <x:c r="AG89" t="inlineStr">
        <x:is>
          <x:t xml:space="preserve">REJECTED_FAR_BELOW</x:t>
        </x:is>
      </x:c>
      <x:c r="AH89" t="inlineStr">
        <x:is>
          <x:t xml:space="preserve">primary_gbm@0.230964__baseline_composite@0.343167</x:t>
        </x:is>
      </x:c>
      <x:c r="AI89" t="inlineStr">
        <x:is>
          <x:t xml:space="preserve">real_boamp_layer1</x:t>
        </x:is>
      </x:c>
    </x:row>
    <x:row r="90" ht="48" customHeight="1">
      <x:c r="A90" s="4" t="inlineStr">
        <x:is>
          <x:t xml:space="preserve">AUDIT-089</x:t>
        </x:is>
      </x:c>
      <x:c r="B90" s="4" t="inlineStr">
        <x:is>
          <x:t xml:space="preserve">rejected_far_below</x:t>
        </x:is>
      </x:c>
      <x:c r="C90" s="4" t="str">
        <x:v>CORRECT_REJECTION</x:v>
      </x:c>
      <x:c r="D90" s="4" t="str">
        <x:v>MEDIUM</x:v>
      </x:c>
      <x:c r="E90" s="4" t="str">
        <x:v>FALSE</x:v>
      </x:c>
      <x:c r="F90" s="5" t="n">
        <x:v>46240</x:v>
      </x:c>
      <x:c r="G90" s="6" t="str">
        <x:v>The rejected candidate is a public-procurement dematerialisation platform, not office, messaging and collaboration software. Later same-buyer notices covered other software functions.</x:v>
      </x:c>
      <x:c r="H90" t="inlineStr">
        <x:is>
          <x:t xml:space="preserve">21-152380</x:t>
        </x:is>
      </x:c>
      <x:c r="I90" t="inlineStr">
        <x:is>
          <x:t xml:space="preserve">22-137807</x:t>
        </x:is>
      </x:c>
      <x:c r="J90" t="inlineStr">
        <x:is>
          <x:t xml:space="preserve"/>
        </x:is>
      </x:c>
      <x:c r="K90" t="inlineStr">
        <x:is>
          <x:t xml:space="preserve"/>
        </x:is>
      </x:c>
      <x:c r="L90" t="inlineStr">
        <x:is>
          <x:t xml:space="preserve">NOT_LINKED</x:t>
        </x:is>
      </x:c>
      <x:c r="M90" t="inlineStr">
        <x:is>
          <x:t xml:space="preserve">NOT_LINKED</x:t>
        </x:is>
      </x:c>
      <x:c r="N90" t="inlineStr">
        <x:is>
          <x:t xml:space="preserve">GIE des EPL de Vendée</x:t>
        </x:is>
      </x:c>
      <x:c r="O90" t="inlineStr">
        <x:is>
          <x:t xml:space="preserve">NAME_FALLBACK</x:t>
        </x:is>
      </x:c>
      <x:c r="P90" t="inlineStr">
        <x:is>
          <x:t xml:space="preserve">13</x:t>
        </x:is>
      </x:c>
      <x:c r="Q90" t="inlineStr">
        <x:is>
          <x:t xml:space="preserve">2021-11-17</x:t>
        </x:is>
      </x:c>
      <x:c r="R90" t="inlineStr">
        <x:is>
          <x:t xml:space="preserve">2022-10-14</x:t>
        </x:is>
      </x:c>
      <x:c r="S90" t="inlineStr">
        <x:is>
          <x:t xml:space="preserve">10.873850197109066</x:t>
        </x:is>
      </x:c>
      <x:c r="T90" t="inlineStr">
        <x:is>
          <x:t xml:space="preserve">48200000.0</x:t>
        </x:is>
      </x:c>
      <x:c r="U90" t="inlineStr">
        <x:is>
          <x:t xml:space="preserve">DIGITAL_ICT</x:t>
        </x:is>
      </x:c>
      <x:c r="V90" t="inlineStr">
        <x:is>
          <x:t xml:space="preserve">True</x:t>
        </x:is>
      </x:c>
      <x:c r="W90" t="inlineStr">
        <x:is>
          <x:t xml:space="preserve">0.1438525131569435</x:t>
        </x:is>
      </x:c>
      <x:c r="X90" t="inlineStr">
        <x:is>
          <x:t xml:space="preserve">0.0</x:t>
        </x:is>
      </x:c>
      <x:c r="Y90" t="inlineStr">
        <x:is>
          <x:t xml:space="preserve">0.1787122207621551</x:t>
        </x:is>
      </x:c>
      <x:c r="Z90" t="inlineStr">
        <x:is>
          <x:t xml:space="preserve">0.6</x:t>
        </x:is>
      </x:c>
      <x:c r="AA90" t="inlineStr">
        <x:is>
          <x:t xml:space="preserve">0.155026434795469</x:t>
        </x:is>
      </x:c>
      <x:c r="AB90" t="inlineStr">
        <x:is>
          <x:t xml:space="preserve"/>
        </x:is>
      </x:c>
      <x:c r="AC90" t="inlineStr">
        <x:is>
          <x:t xml:space="preserve">0.155026434795469</x:t>
        </x:is>
      </x:c>
      <x:c r="AD90" t="inlineStr">
        <x:is>
          <x:t xml:space="preserve">1</x:t>
        </x:is>
      </x:c>
      <x:c r="AE90" s="2" t="inlineStr">
        <x:is>
          <x:t xml:space="preserve">Location de logiciels de bureautique et d'applications en ligne de messagerie électronique et de travail collaboratif</x:t>
        </x:is>
      </x:c>
      <x:c r="AF90" s="2" t="inlineStr">
        <x:is>
          <x:t xml:space="preserve">Mise à disposition d'une solution en ligne de dématérialisation des marchés publics et prestations associées</x:t>
        </x:is>
      </x:c>
      <x:c r="AG90" t="inlineStr">
        <x:is>
          <x:t xml:space="preserve">REJECTED_FAR_BELOW</x:t>
        </x:is>
      </x:c>
      <x:c r="AH90" t="inlineStr">
        <x:is>
          <x:t xml:space="preserve">primary_gbm@0.230964__baseline_composite@0.343167</x:t>
        </x:is>
      </x:c>
      <x:c r="AI90" t="inlineStr">
        <x:is>
          <x:t xml:space="preserve">real_boamp_layer1</x:t>
        </x:is>
      </x:c>
    </x:row>
    <x:row r="91" ht="48" customHeight="1">
      <x:c r="A91" s="4" t="inlineStr">
        <x:is>
          <x:t xml:space="preserve">AUDIT-090</x:t>
        </x:is>
      </x:c>
      <x:c r="B91" s="4" t="inlineStr">
        <x:is>
          <x:t xml:space="preserve">rejected_far_below</x:t>
        </x:is>
      </x:c>
      <x:c r="C91" s="4" t="str">
        <x:v>CORRECT_REJECTION</x:v>
      </x:c>
      <x:c r="D91" s="4" t="str">
        <x:v>MEDIUM</x:v>
      </x:c>
      <x:c r="E91" s="4" t="str">
        <x:v>FALSE</x:v>
      </x:c>
      <x:c r="F91" s="5" t="n">
        <x:v>46240</x:v>
      </x:c>
      <x:c r="G91" s="6" t="str">
        <x:v>The rejected candidate is outdoor signage, not construction and maintenance of a transport-demand model. No plausible same-buyer successor was found.</x:v>
      </x:c>
      <x:c r="H91" t="inlineStr">
        <x:is>
          <x:t xml:space="preserve">23-23753</x:t>
        </x:is>
      </x:c>
      <x:c r="I91" t="inlineStr">
        <x:is>
          <x:t xml:space="preserve">23-159290</x:t>
        </x:is>
      </x:c>
      <x:c r="J91" t="inlineStr">
        <x:is>
          <x:t xml:space="preserve"/>
        </x:is>
      </x:c>
      <x:c r="K91" t="inlineStr">
        <x:is>
          <x:t xml:space="preserve"/>
        </x:is>
      </x:c>
      <x:c r="L91" t="inlineStr">
        <x:is>
          <x:t xml:space="preserve">NOT_LINKED</x:t>
        </x:is>
      </x:c>
      <x:c r="M91" t="inlineStr">
        <x:is>
          <x:t xml:space="preserve">NOT_LINKED</x:t>
        </x:is>
      </x:c>
      <x:c r="N91" t="inlineStr">
        <x:is>
          <x:t xml:space="preserve">Angers Loire Métropole</x:t>
        </x:is>
      </x:c>
      <x:c r="O91" t="inlineStr">
        <x:is>
          <x:t xml:space="preserve">NAME_FALLBACK</x:t>
        </x:is>
      </x:c>
      <x:c r="P91" t="inlineStr">
        <x:is>
          <x:t xml:space="preserve">61</x:t>
        </x:is>
      </x:c>
      <x:c r="Q91" t="inlineStr">
        <x:is>
          <x:t xml:space="preserve">2023-03-08</x:t>
        </x:is>
      </x:c>
      <x:c r="R91" t="inlineStr">
        <x:is>
          <x:t xml:space="preserve">2023-12-02</x:t>
        </x:is>
      </x:c>
      <x:c r="S91" t="inlineStr">
        <x:is>
          <x:t xml:space="preserve">8.83705650459921</x:t>
        </x:is>
      </x:c>
      <x:c r="T91" t="inlineStr">
        <x:is>
          <x:t xml:space="preserve">72200000.0</x:t>
        </x:is>
      </x:c>
      <x:c r="U91" t="inlineStr">
        <x:is>
          <x:t xml:space="preserve">DIGITAL_ICT</x:t>
        </x:is>
      </x:c>
      <x:c r="V91" t="inlineStr">
        <x:is>
          <x:t xml:space="preserve">True</x:t>
        </x:is>
      </x:c>
      <x:c r="W91" t="inlineStr">
        <x:is>
          <x:t xml:space="preserve">0.0119454358354715</x:t>
        </x:is>
      </x:c>
      <x:c r="X91" t="inlineStr">
        <x:is>
          <x:t xml:space="preserve">0.0</x:t>
        </x:is>
      </x:c>
      <x:c r="Y91" t="inlineStr">
        <x:is>
          <x:t xml:space="preserve">0.0582566798072711</x:t>
        </x:is>
      </x:c>
      <x:c r="Z91" t="inlineStr">
        <x:is>
          <x:t xml:space="preserve">0.6</x:t>
        </x:is>
      </x:c>
      <x:c r="AA91" t="inlineStr">
        <x:is>
          <x:t xml:space="preserve">0.0787450724942328</x:t>
        </x:is>
      </x:c>
      <x:c r="AB91" t="inlineStr">
        <x:is>
          <x:t xml:space="preserve"/>
        </x:is>
      </x:c>
      <x:c r="AC91" t="inlineStr">
        <x:is>
          <x:t xml:space="preserve">0.0787450724942328</x:t>
        </x:is>
      </x:c>
      <x:c r="AD91" t="inlineStr">
        <x:is>
          <x:t xml:space="preserve">1</x:t>
        </x:is>
      </x:c>
      <x:c r="AE91" s="2" t="inlineStr">
        <x:is>
          <x:t xml:space="preserve">marché de construction, installation, et maintenance d'un modèle de déplacement sur le territoire d'angers loire métropole</x:t>
        </x:is>
      </x:c>
      <x:c r="AF91" s="2" t="inlineStr">
        <x:is>
          <x:t xml:space="preserve">fourniture et pose de signalétiques extérieures des espaces paysagers, naturels et urbains</x:t>
        </x:is>
      </x:c>
      <x:c r="AG91" t="inlineStr">
        <x:is>
          <x:t xml:space="preserve">REJECTED_FAR_BELOW</x:t>
        </x:is>
      </x:c>
      <x:c r="AH91" t="inlineStr">
        <x:is>
          <x:t xml:space="preserve">primary_gbm@0.230964__baseline_composite@0.343167</x:t>
        </x:is>
      </x:c>
      <x:c r="AI91" t="inlineStr">
        <x:is>
          <x:t xml:space="preserve">real_boamp_layer1</x:t>
        </x:is>
      </x:c>
    </x:row>
    <x:row r="92" ht="48" customHeight="1">
      <x:c r="A92" s="4" t="inlineStr">
        <x:is>
          <x:t xml:space="preserve">AUDIT-091</x:t>
        </x:is>
      </x:c>
      <x:c r="B92" s="4" t="inlineStr">
        <x:is>
          <x:t xml:space="preserve">rejected_far_below</x:t>
        </x:is>
      </x:c>
      <x:c r="C92" s="4" t="str">
        <x:v>CORRECT_REJECTION</x:v>
      </x:c>
      <x:c r="D92" s="4" t="str">
        <x:v>MEDIUM</x:v>
      </x:c>
      <x:c r="E92" s="4" t="str">
        <x:v>FALSE</x:v>
      </x:c>
      <x:c r="F92" s="5" t="n">
        <x:v>46240</x:v>
      </x:c>
      <x:c r="G92" s="6" t="str">
        <x:v>The rejected candidate is a CNC machining centre, not a material-jet printer/UV-laser surface instrument. Later notices concern different laboratory or printing equipment.</x:v>
      </x:c>
      <x:c r="H92" t="inlineStr">
        <x:is>
          <x:t xml:space="preserve">19-54285</x:t>
        </x:is>
      </x:c>
      <x:c r="I92" t="inlineStr">
        <x:is>
          <x:t xml:space="preserve">20-77272</x:t>
        </x:is>
      </x:c>
      <x:c r="J92" t="inlineStr">
        <x:is>
          <x:t xml:space="preserve"/>
        </x:is>
      </x:c>
      <x:c r="K92" t="inlineStr">
        <x:is>
          <x:t xml:space="preserve"/>
        </x:is>
      </x:c>
      <x:c r="L92" t="inlineStr">
        <x:is>
          <x:t xml:space="preserve">NOT_LINKED</x:t>
        </x:is>
      </x:c>
      <x:c r="M92" t="inlineStr">
        <x:is>
          <x:t xml:space="preserve">NOT_LINKED</x:t>
        </x:is>
      </x:c>
      <x:c r="N92" t="inlineStr">
        <x:is>
          <x:t xml:space="preserve">Université du Maine</x:t>
        </x:is>
      </x:c>
      <x:c r="O92" t="inlineStr">
        <x:is>
          <x:t xml:space="preserve">NAME_FALLBACK</x:t>
        </x:is>
      </x:c>
      <x:c r="P92" t="inlineStr">
        <x:is>
          <x:t xml:space="preserve">8</x:t>
        </x:is>
      </x:c>
      <x:c r="Q92" t="inlineStr">
        <x:is>
          <x:t xml:space="preserve">2019-04-06</x:t>
        </x:is>
      </x:c>
      <x:c r="R92" t="inlineStr">
        <x:is>
          <x:t xml:space="preserve">2020-06-16</x:t>
        </x:is>
      </x:c>
      <x:c r="S92" t="inlineStr">
        <x:is>
          <x:t xml:space="preserve">14.35611038107753</x:t>
        </x:is>
      </x:c>
      <x:c r="T92" t="inlineStr">
        <x:is>
          <x:t xml:space="preserve">31710000.0</x:t>
        </x:is>
      </x:c>
      <x:c r="U92" t="inlineStr">
        <x:is>
          <x:t xml:space="preserve">DIGITAL_ICT</x:t>
        </x:is>
      </x:c>
      <x:c r="V92" t="inlineStr">
        <x:is>
          <x:t xml:space="preserve">True</x:t>
        </x:is>
      </x:c>
      <x:c r="W92" t="inlineStr">
        <x:is>
          <x:t xml:space="preserve">0.0510398373679267</x:t>
        </x:is>
      </x:c>
      <x:c r="X92" t="inlineStr">
        <x:is>
          <x:t xml:space="preserve">0.0</x:t>
        </x:is>
      </x:c>
      <x:c r="Y92" t="inlineStr">
        <x:is>
          <x:t xml:space="preserve">0.3758212877792378</x:t>
        </x:is>
      </x:c>
      <x:c r="Z92" t="inlineStr">
        <x:is>
          <x:t xml:space="preserve">0.6</x:t>
        </x:is>
      </x:c>
      <x:c r="AA92" t="inlineStr">
        <x:is>
          <x:t xml:space="preserve">0.1718192650235838</x:t>
        </x:is>
      </x:c>
      <x:c r="AB92" t="inlineStr">
        <x:is>
          <x:t xml:space="preserve"/>
        </x:is>
      </x:c>
      <x:c r="AC92" t="inlineStr">
        <x:is>
          <x:t xml:space="preserve">0.1718192650235838</x:t>
        </x:is>
      </x:c>
      <x:c r="AD92" t="inlineStr">
        <x:is>
          <x:t xml:space="preserve">1</x:t>
        </x:is>
      </x:c>
      <x:c r="AE92" s="2" t="inlineStr">
        <x:is>
          <x:t xml:space="preserve">Imprimante numérique par jet de matière / Appareil de fonctionnalisation de surface par UV laser</x:t>
        </x:is>
      </x:c>
      <x:c r="AF92" s="2" t="inlineStr">
        <x:is>
          <x:t xml:space="preserve">Centre d'usinage à commande numérique</x:t>
        </x:is>
      </x:c>
      <x:c r="AG92" t="inlineStr">
        <x:is>
          <x:t xml:space="preserve">REJECTED_FAR_BELOW</x:t>
        </x:is>
      </x:c>
      <x:c r="AH92" t="inlineStr">
        <x:is>
          <x:t xml:space="preserve">primary_gbm@0.230964__baseline_composite@0.343167</x:t>
        </x:is>
      </x:c>
      <x:c r="AI92" t="inlineStr">
        <x:is>
          <x:t xml:space="preserve">real_boamp_layer1</x:t>
        </x:is>
      </x:c>
    </x:row>
    <x:row r="93" ht="48" customHeight="1">
      <x:c r="A93" s="4" t="inlineStr">
        <x:is>
          <x:t xml:space="preserve">AUDIT-092</x:t>
        </x:is>
      </x:c>
      <x:c r="B93" s="4" t="inlineStr">
        <x:is>
          <x:t xml:space="preserve">rejected_far_below</x:t>
        </x:is>
      </x:c>
      <x:c r="C93" s="4" t="str">
        <x:v>MISSED_LINK</x:v>
      </x:c>
      <x:c r="D93" s="4" t="str">
        <x:v>HIGH</x:v>
      </x:c>
      <x:c r="E93" s="4" t="str">
        <x:v>FALSE</x:v>
      </x:c>
      <x:c r="F93" s="5" t="n">
        <x:v>46240</x:v>
      </x:c>
      <x:c r="G93" s="6" t="str">
        <x:v>The reviewed candidate is training/consulting, but BOAMP notice 21-83144 from the same regional chamber is again for computer-equipment supply. It is a plausible successor to the 2018 computer-hardware notice and was missed by both rules.</x:v>
      </x:c>
      <x:c r="H93" t="inlineStr">
        <x:is>
          <x:t xml:space="preserve">18-103711</x:t>
        </x:is>
      </x:c>
      <x:c r="I93" t="inlineStr">
        <x:is>
          <x:t xml:space="preserve">18-143391</x:t>
        </x:is>
      </x:c>
      <x:c r="J93" t="inlineStr">
        <x:is>
          <x:t xml:space="preserve"/>
        </x:is>
      </x:c>
      <x:c r="K93" t="inlineStr">
        <x:is>
          <x:t xml:space="preserve"/>
        </x:is>
      </x:c>
      <x:c r="L93" t="inlineStr">
        <x:is>
          <x:t xml:space="preserve">NOT_LINKED</x:t>
        </x:is>
      </x:c>
      <x:c r="M93" t="inlineStr">
        <x:is>
          <x:t xml:space="preserve">NOT_LINKED</x:t>
        </x:is>
      </x:c>
      <x:c r="N93" t="inlineStr">
        <x:is>
          <x:t xml:space="preserve">CMAR Pays de La Loire</x:t>
        </x:is>
      </x:c>
      <x:c r="O93" t="inlineStr">
        <x:is>
          <x:t xml:space="preserve">NAME_FALLBACK</x:t>
        </x:is>
      </x:c>
      <x:c r="P93" t="inlineStr">
        <x:is>
          <x:t xml:space="preserve">9</x:t>
        </x:is>
      </x:c>
      <x:c r="Q93" t="inlineStr">
        <x:is>
          <x:t xml:space="preserve">2018-07-22</x:t>
        </x:is>
      </x:c>
      <x:c r="R93" t="inlineStr">
        <x:is>
          <x:t xml:space="preserve">2018-10-14</x:t>
        </x:is>
      </x:c>
      <x:c r="S93" t="inlineStr">
        <x:is>
          <x:t xml:space="preserve">2.759526938239159</x:t>
        </x:is>
      </x:c>
      <x:c r="T93" t="inlineStr">
        <x:is>
          <x:t xml:space="preserve">30200000.0</x:t>
        </x:is>
      </x:c>
      <x:c r="U93" t="inlineStr">
        <x:is>
          <x:t xml:space="preserve">DIGITAL_ICT</x:t>
        </x:is>
      </x:c>
      <x:c r="V93" t="inlineStr">
        <x:is>
          <x:t xml:space="preserve">True</x:t>
        </x:is>
      </x:c>
      <x:c r="W93" t="inlineStr">
        <x:is>
          <x:t xml:space="preserve">0.0066428210335422</x:t>
        </x:is>
      </x:c>
      <x:c r="X93" t="inlineStr">
        <x:is>
          <x:t xml:space="preserve">0.0</x:t>
        </x:is>
      </x:c>
      <x:c r="Y93" t="inlineStr">
        <x:is>
          <x:t xml:space="preserve">0.13491020586947</x:t>
        </x:is>
      </x:c>
      <x:c r="Z93" t="inlineStr">
        <x:is>
          <x:t xml:space="preserve">0.6</x:t>
        </x:is>
      </x:c>
      <x:c r="AA93" t="inlineStr">
        <x:is>
          <x:t xml:space="preserve">0.0960525388291072</x:t>
        </x:is>
      </x:c>
      <x:c r="AB93" t="inlineStr">
        <x:is>
          <x:t xml:space="preserve"/>
        </x:is>
      </x:c>
      <x:c r="AC93" t="inlineStr">
        <x:is>
          <x:t xml:space="preserve">0.0960525388291072</x:t>
        </x:is>
      </x:c>
      <x:c r="AD93" t="inlineStr">
        <x:is>
          <x:t xml:space="preserve">1</x:t>
        </x:is>
      </x:c>
      <x:c r="AE93" s="2" t="inlineStr">
        <x:is>
          <x:t xml:space="preserve">FOURNITURE DE MATERIELS INFORMATIQUES</x:t>
        </x:is>
      </x:c>
      <x:c r="AF93" s="2" t="inlineStr">
        <x:is>
          <x:t xml:space="preserve">Prestations de Conseil et de Formation pour les entreprises participant au dispositif régional CAPEA NUMERIQUE - CMAR PDL</x:t>
        </x:is>
      </x:c>
      <x:c r="AG93" t="inlineStr">
        <x:is>
          <x:t xml:space="preserve">REJECTED_FAR_BELOW</x:t>
        </x:is>
      </x:c>
      <x:c r="AH93" t="inlineStr">
        <x:is>
          <x:t xml:space="preserve">primary_gbm@0.230964__baseline_composite@0.343167</x:t>
        </x:is>
      </x:c>
      <x:c r="AI93" t="inlineStr">
        <x:is>
          <x:t xml:space="preserve">real_boamp_layer1</x:t>
        </x:is>
      </x:c>
    </x:row>
    <x:row r="94" ht="48" customHeight="1">
      <x:c r="A94" s="4" t="inlineStr">
        <x:is>
          <x:t xml:space="preserve">AUDIT-093</x:t>
        </x:is>
      </x:c>
      <x:c r="B94" s="4" t="inlineStr">
        <x:is>
          <x:t xml:space="preserve">censored_no_candidate</x:t>
        </x:is>
      </x:c>
      <x:c r="C94" s="4" t="str">
        <x:v>CORRECT_REJECTION</x:v>
      </x:c>
      <x:c r="D94" s="4" t="str">
        <x:v>MEDIUM</x:v>
      </x:c>
      <x:c r="E94" s="4" t="str">
        <x:v>FALSE</x:v>
      </x:c>
      <x:c r="F94" s="5" t="n">
        <x:v>46240</x:v>
      </x:c>
      <x:c r="G94" s="6" t="str">
        <x:v>No candidate was generated. A same-buyer search found tourism information and advertising procurements, but none matched the conversational-marketing platform closely enough to be a plausible successor.</x:v>
      </x:c>
      <x:c r="H94" t="inlineStr">
        <x:is>
          <x:t xml:space="preserve">22-28144</x:t>
        </x:is>
      </x:c>
      <x:c r="I94" t="inlineStr">
        <x:is>
          <x:t xml:space="preserve"/>
        </x:is>
      </x:c>
      <x:c r="J94" t="inlineStr">
        <x:is>
          <x:t xml:space="preserve"/>
        </x:is>
      </x:c>
      <x:c r="K94" t="inlineStr">
        <x:is>
          <x:t xml:space="preserve"/>
        </x:is>
      </x:c>
      <x:c r="L94" t="inlineStr">
        <x:is>
          <x:t xml:space="preserve">NO_CANDIDATE</x:t>
        </x:is>
      </x:c>
      <x:c r="M94" t="inlineStr">
        <x:is>
          <x:t xml:space="preserve">NO_CANDIDATE</x:t>
        </x:is>
      </x:c>
      <x:c r="N94" t="inlineStr">
        <x:is>
          <x:t xml:space="preserve">Vendée Expansion</x:t>
        </x:is>
      </x:c>
      <x:c r="O94" t="inlineStr">
        <x:is>
          <x:t xml:space="preserve">RAW_SIRET</x:t>
        </x:is>
      </x:c>
      <x:c r="P94" t="inlineStr">
        <x:is>
          <x:t xml:space="preserve">5</x:t>
        </x:is>
      </x:c>
      <x:c r="Q94" t="inlineStr">
        <x:is>
          <x:t xml:space="preserve">2022-02-23</x:t>
        </x:is>
      </x:c>
      <x:c r="R94" t="inlineStr">
        <x:is>
          <x:t xml:space="preserve"/>
        </x:is>
      </x:c>
      <x:c r="S94" t="inlineStr">
        <x:is>
          <x:t xml:space="preserve"/>
        </x:is>
      </x:c>
      <x:c r="T94" t="inlineStr">
        <x:is>
          <x:t xml:space="preserve">72500000.0</x:t>
        </x:is>
      </x:c>
      <x:c r="U94" t="inlineStr">
        <x:is>
          <x:t xml:space="preserve">DIGITAL_ICT</x:t>
        </x:is>
      </x:c>
      <x:c r="V94" t="inlineStr">
        <x:is>
          <x:t xml:space="preserve">True</x:t>
        </x:is>
      </x:c>
      <x:c r="W94" t="inlineStr">
        <x:is>
          <x:t xml:space="preserve"/>
        </x:is>
      </x:c>
      <x:c r="X94" t="inlineStr">
        <x:is>
          <x:t xml:space="preserve"/>
        </x:is>
      </x:c>
      <x:c r="Y94" t="inlineStr">
        <x:is>
          <x:t xml:space="preserve"/>
        </x:is>
      </x:c>
      <x:c r="Z94" t="inlineStr">
        <x:is>
          <x:t xml:space="preserve"/>
        </x:is>
      </x:c>
      <x:c r="AA94" t="inlineStr">
        <x:is>
          <x:t xml:space="preserve"/>
        </x:is>
      </x:c>
      <x:c r="AB94" t="inlineStr">
        <x:is>
          <x:t xml:space="preserve"/>
        </x:is>
      </x:c>
      <x:c r="AC94" t="inlineStr">
        <x:is>
          <x:t xml:space="preserve"/>
        </x:is>
      </x:c>
      <x:c r="AD94" t="inlineStr">
        <x:is>
          <x:t xml:space="preserve">0</x:t>
        </x:is>
      </x:c>
      <x:c r="AE94" s="2" t="inlineStr">
        <x:is>
          <x:t xml:space="preserve">Mise à disposition d'une plateforme de marketing conversationnel</x:t>
        </x:is>
      </x:c>
      <x:c r="AF94" s="2" t="inlineStr">
        <x:is>
          <x:t xml:space="preserve"/>
        </x:is>
      </x:c>
      <x:c r="AG94" t="inlineStr">
        <x:is>
          <x:t xml:space="preserve">CENSORED_NO_CANDIDATE</x:t>
        </x:is>
      </x:c>
      <x:c r="AH94" t="inlineStr">
        <x:is>
          <x:t xml:space="preserve">primary_gbm@0.230964__baseline_composite@0.343167</x:t>
        </x:is>
      </x:c>
      <x:c r="AI94" t="inlineStr">
        <x:is>
          <x:t xml:space="preserve">real_boamp_layer1</x:t>
        </x:is>
      </x:c>
    </x:row>
    <x:row r="95" ht="48" customHeight="1">
      <x:c r="A95" s="4" t="inlineStr">
        <x:is>
          <x:t xml:space="preserve">AUDIT-094</x:t>
        </x:is>
      </x:c>
      <x:c r="B95" s="4" t="inlineStr">
        <x:is>
          <x:t xml:space="preserve">censored_no_candidate</x:t>
        </x:is>
      </x:c>
      <x:c r="C95" s="4" t="str">
        <x:v>INSUFFICIENT_INFORMATION</x:v>
      </x:c>
      <x:c r="D95" s="4" t="str">
        <x:v>LOW</x:v>
      </x:c>
      <x:c r="E95" s="4" t="str">
        <x:v>TRUE</x:v>
      </x:c>
      <x:c r="F95" s="5" t="n">
        <x:v>46240</x:v>
      </x:c>
      <x:c r="G95" s="6" t="str">
        <x:v>No later same-buyer BOAMP notice was available by 2026-08-06, but the source was published only in December 2025. The follow-up is too short to decide whether the absence of a candidate is a correct rejection or simple right-censoring.</x:v>
      </x:c>
      <x:c r="H95" t="inlineStr">
        <x:is>
          <x:t xml:space="preserve">25-138044</x:t>
        </x:is>
      </x:c>
      <x:c r="I95" t="inlineStr">
        <x:is>
          <x:t xml:space="preserve"/>
        </x:is>
      </x:c>
      <x:c r="J95" t="inlineStr">
        <x:is>
          <x:t xml:space="preserve"/>
        </x:is>
      </x:c>
      <x:c r="K95" t="inlineStr">
        <x:is>
          <x:t xml:space="preserve"/>
        </x:is>
      </x:c>
      <x:c r="L95" t="inlineStr">
        <x:is>
          <x:t xml:space="preserve">NO_CANDIDATE</x:t>
        </x:is>
      </x:c>
      <x:c r="M95" t="inlineStr">
        <x:is>
          <x:t xml:space="preserve">NO_CANDIDATE</x:t>
        </x:is>
      </x:c>
      <x:c r="N95" t="inlineStr">
        <x:is>
          <x:t xml:space="preserve">Ecole Nationale Supérieure d'Arts et Métiers</x:t>
        </x:is>
      </x:c>
      <x:c r="O95" t="inlineStr">
        <x:is>
          <x:t xml:space="preserve">RAW_SIRET</x:t>
        </x:is>
      </x:c>
      <x:c r="P95" t="inlineStr">
        <x:is>
          <x:t xml:space="preserve">8</x:t>
        </x:is>
      </x:c>
      <x:c r="Q95" t="inlineStr">
        <x:is>
          <x:t xml:space="preserve">2025-12-17</x:t>
        </x:is>
      </x:c>
      <x:c r="R95" t="inlineStr">
        <x:is>
          <x:t xml:space="preserve"/>
        </x:is>
      </x:c>
      <x:c r="S95" t="inlineStr">
        <x:is>
          <x:t xml:space="preserve"/>
        </x:is>
      </x:c>
      <x:c r="T95" t="inlineStr">
        <x:is>
          <x:t xml:space="preserve">71631300.0</x:t>
        </x:is>
      </x:c>
      <x:c r="U95" t="inlineStr">
        <x:is>
          <x:t xml:space="preserve">DIGITAL_ICT</x:t>
        </x:is>
      </x:c>
      <x:c r="V95" t="inlineStr">
        <x:is>
          <x:t xml:space="preserve">False</x:t>
        </x:is>
      </x:c>
      <x:c r="W95" t="inlineStr">
        <x:is>
          <x:t xml:space="preserve"/>
        </x:is>
      </x:c>
      <x:c r="X95" t="inlineStr">
        <x:is>
          <x:t xml:space="preserve"/>
        </x:is>
      </x:c>
      <x:c r="Y95" t="inlineStr">
        <x:is>
          <x:t xml:space="preserve"/>
        </x:is>
      </x:c>
      <x:c r="Z95" t="inlineStr">
        <x:is>
          <x:t xml:space="preserve"/>
        </x:is>
      </x:c>
      <x:c r="AA95" t="inlineStr">
        <x:is>
          <x:t xml:space="preserve"/>
        </x:is>
      </x:c>
      <x:c r="AB95" t="inlineStr">
        <x:is>
          <x:t xml:space="preserve"/>
        </x:is>
      </x:c>
      <x:c r="AC95" t="inlineStr">
        <x:is>
          <x:t xml:space="preserve"/>
        </x:is>
      </x:c>
      <x:c r="AD95" t="inlineStr">
        <x:is>
          <x:t xml:space="preserve">0</x:t>
        </x:is>
      </x:c>
      <x:c r="AE95" s="2" t="inlineStr">
        <x:is>
          <x:t xml:space="preserve">Vérification techniques réglementaire obligatoires dans les ERP</x:t>
        </x:is>
      </x:c>
      <x:c r="AF95" s="2" t="inlineStr">
        <x:is>
          <x:t xml:space="preserve"/>
        </x:is>
      </x:c>
      <x:c r="AG95" t="inlineStr">
        <x:is>
          <x:t xml:space="preserve">CENSORED_NO_CANDIDATE</x:t>
        </x:is>
      </x:c>
      <x:c r="AH95" t="inlineStr">
        <x:is>
          <x:t xml:space="preserve">primary_gbm@0.230964__baseline_composite@0.343167</x:t>
        </x:is>
      </x:c>
      <x:c r="AI95" t="inlineStr">
        <x:is>
          <x:t xml:space="preserve">real_boamp_layer1</x:t>
        </x:is>
      </x:c>
    </x:row>
    <x:row r="96" ht="48" customHeight="1">
      <x:c r="A96" s="4" t="inlineStr">
        <x:is>
          <x:t xml:space="preserve">AUDIT-095</x:t>
        </x:is>
      </x:c>
      <x:c r="B96" s="4" t="inlineStr">
        <x:is>
          <x:t xml:space="preserve">censored_no_candidate</x:t>
        </x:is>
      </x:c>
      <x:c r="C96" s="4" t="str">
        <x:v>CORRECT_REJECTION</x:v>
      </x:c>
      <x:c r="D96" s="4" t="str">
        <x:v>MEDIUM</x:v>
      </x:c>
      <x:c r="E96" s="4" t="str">
        <x:v>FALSE</x:v>
      </x:c>
      <x:c r="F96" s="5" t="n">
        <x:v>46240</x:v>
      </x:c>
      <x:c r="G96" s="6" t="str">
        <x:v>The only close later notice is 22-11286, an explicit rectificatif of the same video-protection procedure. A rectificatif is not a renewal, and no distinct successor was identified.</x:v>
      </x:c>
      <x:c r="H96" t="inlineStr">
        <x:is>
          <x:t xml:space="preserve">21-162413</x:t>
        </x:is>
      </x:c>
      <x:c r="I96" t="inlineStr">
        <x:is>
          <x:t xml:space="preserve"/>
        </x:is>
      </x:c>
      <x:c r="J96" t="inlineStr">
        <x:is>
          <x:t xml:space="preserve"/>
        </x:is>
      </x:c>
      <x:c r="K96" t="inlineStr">
        <x:is>
          <x:t xml:space="preserve"/>
        </x:is>
      </x:c>
      <x:c r="L96" t="inlineStr">
        <x:is>
          <x:t xml:space="preserve">NO_CANDIDATE</x:t>
        </x:is>
      </x:c>
      <x:c r="M96" t="inlineStr">
        <x:is>
          <x:t xml:space="preserve">NO_CANDIDATE</x:t>
        </x:is>
      </x:c>
      <x:c r="N96" t="inlineStr">
        <x:is>
          <x:t xml:space="preserve">Ville d'Avrillé</x:t>
        </x:is>
      </x:c>
      <x:c r="O96" t="inlineStr">
        <x:is>
          <x:t xml:space="preserve">NAME_FALLBACK</x:t>
        </x:is>
      </x:c>
      <x:c r="P96" t="inlineStr">
        <x:is>
          <x:t xml:space="preserve">4</x:t>
        </x:is>
      </x:c>
      <x:c r="Q96" t="inlineStr">
        <x:is>
          <x:t xml:space="preserve">2021-12-10</x:t>
        </x:is>
      </x:c>
      <x:c r="R96" t="inlineStr">
        <x:is>
          <x:t xml:space="preserve"/>
        </x:is>
      </x:c>
      <x:c r="S96" t="inlineStr">
        <x:is>
          <x:t xml:space="preserve"/>
        </x:is>
      </x:c>
      <x:c r="T96" t="inlineStr">
        <x:is>
          <x:t xml:space="preserve">32323500.0</x:t>
        </x:is>
      </x:c>
      <x:c r="U96" t="inlineStr">
        <x:is>
          <x:t xml:space="preserve">DIGITAL_ICT</x:t>
        </x:is>
      </x:c>
      <x:c r="V96" t="inlineStr">
        <x:is>
          <x:t xml:space="preserve">True</x:t>
        </x:is>
      </x:c>
      <x:c r="W96" t="inlineStr">
        <x:is>
          <x:t xml:space="preserve"/>
        </x:is>
      </x:c>
      <x:c r="X96" t="inlineStr">
        <x:is>
          <x:t xml:space="preserve"/>
        </x:is>
      </x:c>
      <x:c r="Y96" t="inlineStr">
        <x:is>
          <x:t xml:space="preserve"/>
        </x:is>
      </x:c>
      <x:c r="Z96" t="inlineStr">
        <x:is>
          <x:t xml:space="preserve"/>
        </x:is>
      </x:c>
      <x:c r="AA96" t="inlineStr">
        <x:is>
          <x:t xml:space="preserve"/>
        </x:is>
      </x:c>
      <x:c r="AB96" t="inlineStr">
        <x:is>
          <x:t xml:space="preserve"/>
        </x:is>
      </x:c>
      <x:c r="AC96" t="inlineStr">
        <x:is>
          <x:t xml:space="preserve"/>
        </x:is>
      </x:c>
      <x:c r="AD96" t="inlineStr">
        <x:is>
          <x:t xml:space="preserve">0</x:t>
        </x:is>
      </x:c>
      <x:c r="AE96" s="2" t="inlineStr">
        <x:is>
          <x:t xml:space="preserve">Travaux d'extension, de rénovation et d'entretien du dispositif de vidéoprotection de la ville d'Avrillé</x:t>
        </x:is>
      </x:c>
      <x:c r="AF96" s="2" t="inlineStr">
        <x:is>
          <x:t xml:space="preserve"/>
        </x:is>
      </x:c>
      <x:c r="AG96" t="inlineStr">
        <x:is>
          <x:t xml:space="preserve">CENSORED_NO_CANDIDATE</x:t>
        </x:is>
      </x:c>
      <x:c r="AH96" t="inlineStr">
        <x:is>
          <x:t xml:space="preserve">primary_gbm@0.230964__baseline_composite@0.343167</x:t>
        </x:is>
      </x:c>
      <x:c r="AI96" t="inlineStr">
        <x:is>
          <x:t xml:space="preserve">real_boamp_layer1</x:t>
        </x:is>
      </x:c>
    </x:row>
    <x:row r="97" ht="48" customHeight="1">
      <x:c r="A97" s="4" t="inlineStr">
        <x:is>
          <x:t xml:space="preserve">AUDIT-096</x:t>
        </x:is>
      </x:c>
      <x:c r="B97" s="4" t="inlineStr">
        <x:is>
          <x:t xml:space="preserve">censored_no_candidate</x:t>
        </x:is>
      </x:c>
      <x:c r="C97" s="4" t="str">
        <x:v>CORRECT_REJECTION</x:v>
      </x:c>
      <x:c r="D97" s="4" t="str">
        <x:v>MEDIUM</x:v>
      </x:c>
      <x:c r="E97" s="4" t="str">
        <x:v>FALSE</x:v>
      </x:c>
      <x:c r="F97" s="5" t="n">
        <x:v>46240</x:v>
      </x:c>
      <x:c r="G97" s="6" t="str">
        <x:v>No candidate was generated, and later same-buyer notices concern other water/sewer activities rather than underground-network detection and marking. No plausible successor was identified.</x:v>
      </x:c>
      <x:c r="H97" t="inlineStr">
        <x:is>
          <x:t xml:space="preserve">21-93672</x:t>
        </x:is>
      </x:c>
      <x:c r="I97" t="inlineStr">
        <x:is>
          <x:t xml:space="preserve"/>
        </x:is>
      </x:c>
      <x:c r="J97" t="inlineStr">
        <x:is>
          <x:t xml:space="preserve"/>
        </x:is>
      </x:c>
      <x:c r="K97" t="inlineStr">
        <x:is>
          <x:t xml:space="preserve"/>
        </x:is>
      </x:c>
      <x:c r="L97" t="inlineStr">
        <x:is>
          <x:t xml:space="preserve">NO_CANDIDATE</x:t>
        </x:is>
      </x:c>
      <x:c r="M97" t="inlineStr">
        <x:is>
          <x:t xml:space="preserve">NO_CANDIDATE</x:t>
        </x:is>
      </x:c>
      <x:c r="N97" t="inlineStr">
        <x:is>
          <x:t xml:space="preserve">CA SAUMUR VAL DE LOIRE</x:t>
        </x:is>
      </x:c>
      <x:c r="O97" t="inlineStr">
        <x:is>
          <x:t xml:space="preserve">NAME_FALLBACK</x:t>
        </x:is>
      </x:c>
      <x:c r="P97" t="inlineStr">
        <x:is>
          <x:t xml:space="preserve">3</x:t>
        </x:is>
      </x:c>
      <x:c r="Q97" t="inlineStr">
        <x:is>
          <x:t xml:space="preserve">2021-07-06</x:t>
        </x:is>
      </x:c>
      <x:c r="R97" t="inlineStr">
        <x:is>
          <x:t xml:space="preserve"/>
        </x:is>
      </x:c>
      <x:c r="S97" t="inlineStr">
        <x:is>
          <x:t xml:space="preserve"/>
        </x:is>
      </x:c>
      <x:c r="T97" t="inlineStr">
        <x:is>
          <x:t xml:space="preserve">32400000.0</x:t>
        </x:is>
      </x:c>
      <x:c r="U97" t="inlineStr">
        <x:is>
          <x:t xml:space="preserve">DIGITAL_ICT</x:t>
        </x:is>
      </x:c>
      <x:c r="V97" t="inlineStr">
        <x:is>
          <x:t xml:space="preserve">True</x:t>
        </x:is>
      </x:c>
      <x:c r="W97" t="inlineStr">
        <x:is>
          <x:t xml:space="preserve"/>
        </x:is>
      </x:c>
      <x:c r="X97" t="inlineStr">
        <x:is>
          <x:t xml:space="preserve"/>
        </x:is>
      </x:c>
      <x:c r="Y97" t="inlineStr">
        <x:is>
          <x:t xml:space="preserve"/>
        </x:is>
      </x:c>
      <x:c r="Z97" t="inlineStr">
        <x:is>
          <x:t xml:space="preserve"/>
        </x:is>
      </x:c>
      <x:c r="AA97" t="inlineStr">
        <x:is>
          <x:t xml:space="preserve"/>
        </x:is>
      </x:c>
      <x:c r="AB97" t="inlineStr">
        <x:is>
          <x:t xml:space="preserve"/>
        </x:is>
      </x:c>
      <x:c r="AC97" t="inlineStr">
        <x:is>
          <x:t xml:space="preserve"/>
        </x:is>
      </x:c>
      <x:c r="AD97" t="inlineStr">
        <x:is>
          <x:t xml:space="preserve">0</x:t>
        </x:is>
      </x:c>
      <x:c r="AE97" s="2" t="inlineStr">
        <x:is>
          <x:t xml:space="preserve">Investigations complémentaires et Marquage des réseaux enterrés sur le territoire de la CASVL (49)</x:t>
        </x:is>
      </x:c>
      <x:c r="AF97" s="2" t="inlineStr">
        <x:is>
          <x:t xml:space="preserve"/>
        </x:is>
      </x:c>
      <x:c r="AG97" t="inlineStr">
        <x:is>
          <x:t xml:space="preserve">CENSORED_NO_CANDIDATE</x:t>
        </x:is>
      </x:c>
      <x:c r="AH97" t="inlineStr">
        <x:is>
          <x:t xml:space="preserve">primary_gbm@0.230964__baseline_composite@0.343167</x:t>
        </x:is>
      </x:c>
      <x:c r="AI97" t="inlineStr">
        <x:is>
          <x:t xml:space="preserve">real_boamp_layer1</x:t>
        </x:is>
      </x:c>
    </x:row>
    <x:row r="98" ht="48" customHeight="1">
      <x:c r="A98" s="4" t="inlineStr">
        <x:is>
          <x:t xml:space="preserve">AUDIT-097</x:t>
        </x:is>
      </x:c>
      <x:c r="B98" s="4" t="inlineStr">
        <x:is>
          <x:t xml:space="preserve">censored_no_candidate</x:t>
        </x:is>
      </x:c>
      <x:c r="C98" s="4" t="str">
        <x:v>CORRECT_REJECTION</x:v>
      </x:c>
      <x:c r="D98" s="4" t="str">
        <x:v>MEDIUM</x:v>
      </x:c>
      <x:c r="E98" s="4" t="str">
        <x:v>FALSE</x:v>
      </x:c>
      <x:c r="F98" s="5" t="n">
        <x:v>46240</x:v>
      </x:c>
      <x:c r="G98" s="6" t="str">
        <x:v>No candidate was generated. The procurement is a one-off equipment purchase for a new headquarters, and the limited same-buyer search found no comparable later computer-equipment notice.</x:v>
      </x:c>
      <x:c r="H98" t="inlineStr">
        <x:is>
          <x:t xml:space="preserve">22-92531</x:t>
        </x:is>
      </x:c>
      <x:c r="I98" t="inlineStr">
        <x:is>
          <x:t xml:space="preserve"/>
        </x:is>
      </x:c>
      <x:c r="J98" t="inlineStr">
        <x:is>
          <x:t xml:space="preserve"/>
        </x:is>
      </x:c>
      <x:c r="K98" t="inlineStr">
        <x:is>
          <x:t xml:space="preserve"/>
        </x:is>
      </x:c>
      <x:c r="L98" t="inlineStr">
        <x:is>
          <x:t xml:space="preserve">NO_CANDIDATE</x:t>
        </x:is>
      </x:c>
      <x:c r="M98" t="inlineStr">
        <x:is>
          <x:t xml:space="preserve">NO_CANDIDATE</x:t>
        </x:is>
      </x:c>
      <x:c r="N98" t="inlineStr">
        <x:is>
          <x:t xml:space="preserve">CC CHALLANS GOIS COMMUNAUTE</x:t>
        </x:is>
      </x:c>
      <x:c r="O98" t="inlineStr">
        <x:is>
          <x:t xml:space="preserve">NAME_FALLBACK</x:t>
        </x:is>
      </x:c>
      <x:c r="P98" t="inlineStr">
        <x:is>
          <x:t xml:space="preserve">1</x:t>
        </x:is>
      </x:c>
      <x:c r="Q98" t="inlineStr">
        <x:is>
          <x:t xml:space="preserve">2022-07-06</x:t>
        </x:is>
      </x:c>
      <x:c r="R98" t="inlineStr">
        <x:is>
          <x:t xml:space="preserve"/>
        </x:is>
      </x:c>
      <x:c r="S98" t="inlineStr">
        <x:is>
          <x:t xml:space="preserve"/>
        </x:is>
      </x:c>
      <x:c r="T98" t="inlineStr">
        <x:is>
          <x:t xml:space="preserve">30230000.0</x:t>
        </x:is>
      </x:c>
      <x:c r="U98" t="inlineStr">
        <x:is>
          <x:t xml:space="preserve">DIGITAL_ICT</x:t>
        </x:is>
      </x:c>
      <x:c r="V98" t="inlineStr">
        <x:is>
          <x:t xml:space="preserve">True</x:t>
        </x:is>
      </x:c>
      <x:c r="W98" t="inlineStr">
        <x:is>
          <x:t xml:space="preserve"/>
        </x:is>
      </x:c>
      <x:c r="X98" t="inlineStr">
        <x:is>
          <x:t xml:space="preserve"/>
        </x:is>
      </x:c>
      <x:c r="Y98" t="inlineStr">
        <x:is>
          <x:t xml:space="preserve"/>
        </x:is>
      </x:c>
      <x:c r="Z98" t="inlineStr">
        <x:is>
          <x:t xml:space="preserve"/>
        </x:is>
      </x:c>
      <x:c r="AA98" t="inlineStr">
        <x:is>
          <x:t xml:space="preserve"/>
        </x:is>
      </x:c>
      <x:c r="AB98" t="inlineStr">
        <x:is>
          <x:t xml:space="preserve"/>
        </x:is>
      </x:c>
      <x:c r="AC98" t="inlineStr">
        <x:is>
          <x:t xml:space="preserve"/>
        </x:is>
      </x:c>
      <x:c r="AD98" t="inlineStr">
        <x:is>
          <x:t xml:space="preserve">0</x:t>
        </x:is>
      </x:c>
      <x:c r="AE98" s="2" t="inlineStr">
        <x:is>
          <x:t xml:space="preserve">fourniture d'équipements informatiques pour le nouveau siège de challans gois communauté</x:t>
        </x:is>
      </x:c>
      <x:c r="AF98" s="2" t="inlineStr">
        <x:is>
          <x:t xml:space="preserve"/>
        </x:is>
      </x:c>
      <x:c r="AG98" t="inlineStr">
        <x:is>
          <x:t xml:space="preserve">CENSORED_NO_CANDIDATE</x:t>
        </x:is>
      </x:c>
      <x:c r="AH98" t="inlineStr">
        <x:is>
          <x:t xml:space="preserve">primary_gbm@0.230964__baseline_composite@0.343167</x:t>
        </x:is>
      </x:c>
      <x:c r="AI98" t="inlineStr">
        <x:is>
          <x:t xml:space="preserve">real_boamp_layer1</x:t>
        </x:is>
      </x:c>
    </x:row>
    <x:row r="99" ht="48" customHeight="1">
      <x:c r="A99" s="4" t="inlineStr">
        <x:is>
          <x:t xml:space="preserve">AUDIT-098</x:t>
        </x:is>
      </x:c>
      <x:c r="B99" s="4" t="inlineStr">
        <x:is>
          <x:t xml:space="preserve">censored_no_candidate</x:t>
        </x:is>
      </x:c>
      <x:c r="C99" s="4" t="str">
        <x:v>MISSED_LINK</x:v>
      </x:c>
      <x:c r="D99" s="4" t="str">
        <x:v>HIGH</x:v>
      </x:c>
      <x:c r="E99" s="4" t="str">
        <x:v>FALSE</x:v>
      </x:c>
      <x:c r="F99" s="5" t="n">
        <x:v>46240</x:v>
      </x:c>
      <x:c r="G99" s="6" t="str">
        <x:v>The algorithm produced no candidate, yet BOAMP notice 17-112686 from the same buyer repeats the source object verbatim 74 days later under a new market reference. This is a plausible reissued procedure and therefore a missed link.</x:v>
      </x:c>
      <x:c r="H99" t="inlineStr">
        <x:is>
          <x:t xml:space="preserve">17-71305</x:t>
        </x:is>
      </x:c>
      <x:c r="I99" t="inlineStr">
        <x:is>
          <x:t xml:space="preserve"/>
        </x:is>
      </x:c>
      <x:c r="J99" t="inlineStr">
        <x:is>
          <x:t xml:space="preserve"/>
        </x:is>
      </x:c>
      <x:c r="K99" t="inlineStr">
        <x:is>
          <x:t xml:space="preserve"/>
        </x:is>
      </x:c>
      <x:c r="L99" t="inlineStr">
        <x:is>
          <x:t xml:space="preserve">NO_CANDIDATE</x:t>
        </x:is>
      </x:c>
      <x:c r="M99" t="inlineStr">
        <x:is>
          <x:t xml:space="preserve">NO_CANDIDATE</x:t>
        </x:is>
      </x:c>
      <x:c r="N99" t="inlineStr">
        <x:is>
          <x:t xml:space="preserve">SMICTOM DES PAYS DE VILAINE</x:t>
        </x:is>
      </x:c>
      <x:c r="O99" t="inlineStr">
        <x:is>
          <x:t xml:space="preserve">NAME_FALLBACK</x:t>
        </x:is>
      </x:c>
      <x:c r="P99" t="inlineStr">
        <x:is>
          <x:t xml:space="preserve">1</x:t>
        </x:is>
      </x:c>
      <x:c r="Q99" t="inlineStr">
        <x:is>
          <x:t xml:space="preserve">2017-05-22</x:t>
        </x:is>
      </x:c>
      <x:c r="R99" t="inlineStr">
        <x:is>
          <x:t xml:space="preserve"/>
        </x:is>
      </x:c>
      <x:c r="S99" t="inlineStr">
        <x:is>
          <x:t xml:space="preserve"/>
        </x:is>
      </x:c>
      <x:c r="T99" t="inlineStr">
        <x:is>
          <x:t xml:space="preserve">48000000.0</x:t>
        </x:is>
      </x:c>
      <x:c r="U99" t="inlineStr">
        <x:is>
          <x:t xml:space="preserve">DIGITAL_ICT</x:t>
        </x:is>
      </x:c>
      <x:c r="V99" t="inlineStr">
        <x:is>
          <x:t xml:space="preserve">True</x:t>
        </x:is>
      </x:c>
      <x:c r="W99" t="inlineStr">
        <x:is>
          <x:t xml:space="preserve"/>
        </x:is>
      </x:c>
      <x:c r="X99" t="inlineStr">
        <x:is>
          <x:t xml:space="preserve"/>
        </x:is>
      </x:c>
      <x:c r="Y99" t="inlineStr">
        <x:is>
          <x:t xml:space="preserve"/>
        </x:is>
      </x:c>
      <x:c r="Z99" t="inlineStr">
        <x:is>
          <x:t xml:space="preserve"/>
        </x:is>
      </x:c>
      <x:c r="AA99" t="inlineStr">
        <x:is>
          <x:t xml:space="preserve"/>
        </x:is>
      </x:c>
      <x:c r="AB99" t="inlineStr">
        <x:is>
          <x:t xml:space="preserve"/>
        </x:is>
      </x:c>
      <x:c r="AC99" t="inlineStr">
        <x:is>
          <x:t xml:space="preserve"/>
        </x:is>
      </x:c>
      <x:c r="AD99" t="inlineStr">
        <x:is>
          <x:t xml:space="preserve">0</x:t>
        </x:is>
      </x:c>
      <x:c r="AE99" s="2" t="inlineStr">
        <x:is>
          <x:t xml:space="preserve">Mise à disposition d'une solution de gestion et de facturation de la redevance incitative du service Déchets</x:t>
        </x:is>
      </x:c>
      <x:c r="AF99" s="2" t="inlineStr">
        <x:is>
          <x:t xml:space="preserve"/>
        </x:is>
      </x:c>
      <x:c r="AG99" t="inlineStr">
        <x:is>
          <x:t xml:space="preserve">CENSORED_NO_CANDIDATE</x:t>
        </x:is>
      </x:c>
      <x:c r="AH99" t="inlineStr">
        <x:is>
          <x:t xml:space="preserve">primary_gbm@0.230964__baseline_composite@0.343167</x:t>
        </x:is>
      </x:c>
      <x:c r="AI99" t="inlineStr">
        <x:is>
          <x:t xml:space="preserve">real_boamp_layer1</x:t>
        </x:is>
      </x:c>
    </x:row>
    <x:row r="100" ht="48" customHeight="1">
      <x:c r="A100" s="4" t="inlineStr">
        <x:is>
          <x:t xml:space="preserve">AUDIT-099</x:t>
        </x:is>
      </x:c>
      <x:c r="B100" s="4" t="inlineStr">
        <x:is>
          <x:t xml:space="preserve">censored_no_candidate</x:t>
        </x:is>
      </x:c>
      <x:c r="C100" s="4" t="str">
        <x:v>CORRECT_REJECTION</x:v>
      </x:c>
      <x:c r="D100" s="4" t="str">
        <x:v>MEDIUM</x:v>
      </x:c>
      <x:c r="E100" s="4" t="str">
        <x:v>FALSE</x:v>
      </x:c>
      <x:c r="F100" s="5" t="n">
        <x:v>46240</x:v>
      </x:c>
      <x:c r="G100" s="6" t="str">
        <x:v>No candidate was generated. The source is a broad four-lot, up-to-48-month IT-services framework; later notices found under the same buyer concern narrower systems such as messaging and do not establish a replacement of this framework.</x:v>
      </x:c>
      <x:c r="H100" t="inlineStr">
        <x:is>
          <x:t xml:space="preserve">21-22700</x:t>
        </x:is>
      </x:c>
      <x:c r="I100" t="inlineStr">
        <x:is>
          <x:t xml:space="preserve"/>
        </x:is>
      </x:c>
      <x:c r="J100" t="inlineStr">
        <x:is>
          <x:t xml:space="preserve"/>
        </x:is>
      </x:c>
      <x:c r="K100" t="inlineStr">
        <x:is>
          <x:t xml:space="preserve"/>
        </x:is>
      </x:c>
      <x:c r="L100" t="inlineStr">
        <x:is>
          <x:t xml:space="preserve">NO_CANDIDATE</x:t>
        </x:is>
      </x:c>
      <x:c r="M100" t="inlineStr">
        <x:is>
          <x:t xml:space="preserve">NO_CANDIDATE</x:t>
        </x:is>
      </x:c>
      <x:c r="N100" t="inlineStr">
        <x:is>
          <x:t xml:space="preserve">Ministère des Affaires étrangères</x:t>
        </x:is>
      </x:c>
      <x:c r="O100" t="inlineStr">
        <x:is>
          <x:t xml:space="preserve">RAW_SIRET</x:t>
        </x:is>
      </x:c>
      <x:c r="P100" t="inlineStr">
        <x:is>
          <x:t xml:space="preserve">1</x:t>
        </x:is>
      </x:c>
      <x:c r="Q100" t="inlineStr">
        <x:is>
          <x:t xml:space="preserve">2021-02-19</x:t>
        </x:is>
      </x:c>
      <x:c r="R100" t="inlineStr">
        <x:is>
          <x:t xml:space="preserve"/>
        </x:is>
      </x:c>
      <x:c r="S100" t="inlineStr">
        <x:is>
          <x:t xml:space="preserve"/>
        </x:is>
      </x:c>
      <x:c r="T100" t="inlineStr">
        <x:is>
          <x:t xml:space="preserve">72000000.0</x:t>
        </x:is>
      </x:c>
      <x:c r="U100" t="inlineStr">
        <x:is>
          <x:t xml:space="preserve">DIGITAL_ICT</x:t>
        </x:is>
      </x:c>
      <x:c r="V100" t="inlineStr">
        <x:is>
          <x:t xml:space="preserve">True</x:t>
        </x:is>
      </x:c>
      <x:c r="W100" t="inlineStr">
        <x:is>
          <x:t xml:space="preserve"/>
        </x:is>
      </x:c>
      <x:c r="X100" t="inlineStr">
        <x:is>
          <x:t xml:space="preserve"/>
        </x:is>
      </x:c>
      <x:c r="Y100" t="inlineStr">
        <x:is>
          <x:t xml:space="preserve"/>
        </x:is>
      </x:c>
      <x:c r="Z100" t="inlineStr">
        <x:is>
          <x:t xml:space="preserve"/>
        </x:is>
      </x:c>
      <x:c r="AA100" t="inlineStr">
        <x:is>
          <x:t xml:space="preserve"/>
        </x:is>
      </x:c>
      <x:c r="AB100" t="inlineStr">
        <x:is>
          <x:t xml:space="preserve"/>
        </x:is>
      </x:c>
      <x:c r="AC100" t="inlineStr">
        <x:is>
          <x:t xml:space="preserve"/>
        </x:is>
      </x:c>
      <x:c r="AD100" t="inlineStr">
        <x:is>
          <x:t xml:space="preserve">0</x:t>
        </x:is>
      </x:c>
      <x:c r="AE100" s="2" t="inlineStr">
        <x:is>
          <x:t xml:space="preserve">Prestations intellectuelles informatiques pour les applications du Ministère de l'Europe et des Affaires Etrangères et ses opérateurs</x:t>
        </x:is>
      </x:c>
      <x:c r="AF100" s="2" t="inlineStr">
        <x:is>
          <x:t xml:space="preserve"/>
        </x:is>
      </x:c>
      <x:c r="AG100" t="inlineStr">
        <x:is>
          <x:t xml:space="preserve">CENSORED_NO_CANDIDATE</x:t>
        </x:is>
      </x:c>
      <x:c r="AH100" t="inlineStr">
        <x:is>
          <x:t xml:space="preserve">primary_gbm@0.230964__baseline_composite@0.343167</x:t>
        </x:is>
      </x:c>
      <x:c r="AI100" t="inlineStr">
        <x:is>
          <x:t xml:space="preserve">real_boamp_layer1</x:t>
        </x:is>
      </x:c>
    </x:row>
    <x:row r="101" ht="48" customHeight="1">
      <x:c r="A101" s="4" t="inlineStr">
        <x:is>
          <x:t xml:space="preserve">AUDIT-100</x:t>
        </x:is>
      </x:c>
      <x:c r="B101" s="4" t="inlineStr">
        <x:is>
          <x:t xml:space="preserve">censored_no_candidate</x:t>
        </x:is>
      </x:c>
      <x:c r="C101" s="4" t="str">
        <x:v>MISSED_LINK</x:v>
      </x:c>
      <x:c r="D101" s="4" t="str">
        <x:v>HIGH</x:v>
      </x:c>
      <x:c r="E101" s="4" t="str">
        <x:v>FALSE</x:v>
      </x:c>
      <x:c r="F101" s="5" t="n">
        <x:v>46240</x:v>
      </x:c>
      <x:c r="G101" s="6" t="str">
        <x:v>The algorithm produced no candidate, yet BOAMP notice 23-7811 from the same SIRET again procures electrical and IT-cabling works on the City of Alençon building stock. The later 25-4351 notice repeats the same need again. The 2023 notice is the earliest plausible missed successor.</x:v>
      </x:c>
      <x:c r="H101" t="inlineStr">
        <x:is>
          <x:t xml:space="preserve">20-130599</x:t>
        </x:is>
      </x:c>
      <x:c r="I101" t="inlineStr">
        <x:is>
          <x:t xml:space="preserve"/>
        </x:is>
      </x:c>
      <x:c r="J101" t="inlineStr">
        <x:is>
          <x:t xml:space="preserve"/>
        </x:is>
      </x:c>
      <x:c r="K101" t="inlineStr">
        <x:is>
          <x:t xml:space="preserve"/>
        </x:is>
      </x:c>
      <x:c r="L101" t="inlineStr">
        <x:is>
          <x:t xml:space="preserve">NO_CANDIDATE</x:t>
        </x:is>
      </x:c>
      <x:c r="M101" t="inlineStr">
        <x:is>
          <x:t xml:space="preserve">NO_CANDIDATE</x:t>
        </x:is>
      </x:c>
      <x:c r="N101" t="inlineStr">
        <x:is>
          <x:t xml:space="preserve">Ville d'Alençon</x:t>
        </x:is>
      </x:c>
      <x:c r="O101" t="inlineStr">
        <x:is>
          <x:t xml:space="preserve">NAME_FALLBACK</x:t>
        </x:is>
      </x:c>
      <x:c r="P101" t="inlineStr">
        <x:is>
          <x:t xml:space="preserve">4</x:t>
        </x:is>
      </x:c>
      <x:c r="Q101" t="inlineStr">
        <x:is>
          <x:t xml:space="preserve">2020-10-23</x:t>
        </x:is>
      </x:c>
      <x:c r="R101" t="inlineStr">
        <x:is>
          <x:t xml:space="preserve"/>
        </x:is>
      </x:c>
      <x:c r="S101" t="inlineStr">
        <x:is>
          <x:t xml:space="preserve"/>
        </x:is>
      </x:c>
      <x:c r="T101" t="inlineStr">
        <x:is>
          <x:t xml:space="preserve">45311100.0</x:t>
        </x:is>
      </x:c>
      <x:c r="U101" t="inlineStr">
        <x:is>
          <x:t xml:space="preserve">DIGITAL_ICT</x:t>
        </x:is>
      </x:c>
      <x:c r="V101" t="inlineStr">
        <x:is>
          <x:t xml:space="preserve">True</x:t>
        </x:is>
      </x:c>
      <x:c r="W101" t="inlineStr">
        <x:is>
          <x:t xml:space="preserve"/>
        </x:is>
      </x:c>
      <x:c r="X101" t="inlineStr">
        <x:is>
          <x:t xml:space="preserve"/>
        </x:is>
      </x:c>
      <x:c r="Y101" t="inlineStr">
        <x:is>
          <x:t xml:space="preserve"/>
        </x:is>
      </x:c>
      <x:c r="Z101" t="inlineStr">
        <x:is>
          <x:t xml:space="preserve"/>
        </x:is>
      </x:c>
      <x:c r="AA101" t="inlineStr">
        <x:is>
          <x:t xml:space="preserve"/>
        </x:is>
      </x:c>
      <x:c r="AB101" t="inlineStr">
        <x:is>
          <x:t xml:space="preserve"/>
        </x:is>
      </x:c>
      <x:c r="AC101" t="inlineStr">
        <x:is>
          <x:t xml:space="preserve"/>
        </x:is>
      </x:c>
      <x:c r="AD101" t="inlineStr">
        <x:is>
          <x:t xml:space="preserve">0</x:t>
        </x:is>
      </x:c>
      <x:c r="AE101" s="2" t="inlineStr">
        <x:is>
          <x:t xml:space="preserve">Numéro de la consultation : 1_2020047 Travaux d'électricité et de câblage informatique pour la réhabilitation, l'aménagement et/ou la construction de bâtiments de la Ville d'Alençon</x:t>
        </x:is>
      </x:c>
      <x:c r="AF101" s="2" t="inlineStr">
        <x:is>
          <x:t xml:space="preserve"/>
        </x:is>
      </x:c>
      <x:c r="AG101" t="inlineStr">
        <x:is>
          <x:t xml:space="preserve">CENSORED_NO_CANDIDATE</x:t>
        </x:is>
      </x:c>
      <x:c r="AH101" t="inlineStr">
        <x:is>
          <x:t xml:space="preserve">primary_gbm@0.230964__baseline_composite@0.343167</x:t>
        </x:is>
      </x:c>
      <x:c r="AI101" t="inlineStr">
        <x:is>
          <x:t xml:space="preserve">real_boamp_layer1</x:t>
        </x:is>
      </x:c>
    </x:row>
  </x:sheetData>
  <x:conditionalFormatting sqref="C2:C101">
    <x:cfRule type="containsText" dxfId="0" priority="1" operator="containsText" text="CORRECT_LINK"/>
    <x:cfRule type="containsText" dxfId="1" priority="2" operator="containsText" text="WRONG_LINK"/>
    <x:cfRule type="containsText" dxfId="2" priority="3" operator="containsText" text="MISSED_LINK"/>
    <x:cfRule type="containsText" dxfId="3" priority="4" operator="containsText" text="CORRECT_REJECTION"/>
    <x:cfRule type="containsText" dxfId="4" priority="5" operator="containsText" text="INSUFFICIENT_INFORMATION"/>
  </x:conditionalFormatting>
  <x:dataValidations count="3">
    <x:dataValidation type="list" allowBlank="1" showErrorMessage="1" sqref="C2:C101">
      <x:formula1>LabelGuide!$A$2:$A$6</x:formula1>
    </x:dataValidation>
    <x:dataValidation type="list" allowBlank="1" showErrorMessage="1" sqref="D2:D101">
      <x:formula1>LabelGuide!$B$2:$B$4</x:formula1>
    </x:dataValidation>
    <x:dataValidation type="list" allowBlank="1" showErrorMessage="1" sqref="E2:E101">
      <x:formula1>LabelGuide!$C$2:$C$3</x:formula1>
    </x:dataValidation>
  </x:dataValidations>
  <x:pageMargins left="0.7" right="0.7" top="0.75" bottom="0.75" header="0.3" footer="0.3"/>
</x:worksheet>
</file>

<file path=xl/worksheets/sheet2.xml><?xml version="1.0" encoding="utf-8"?>
<x:worksheet xmlns:x="http://schemas.openxmlformats.org/spreadsheetml/2006/main">
  <x:cols>
    <x:col min="1" max="1" width="120" customWidth="1"/>
  </x:cols>
  <x:sheetData>
    <x:row r="1">
      <x:c r="A1" s="1" t="inlineStr">
        <x:is>
          <x:t xml:space="preserve">Manual Audit Workbook</x:t>
        </x:is>
      </x:c>
    </x:row>
    <x:row r="2">
      <x:c r="A2" s="2" t="inlineStr">
        <x:is>
          <x:t xml:space="preserve">Use the Review sheet to enter labels. The HTML file is easier for reading long evidence text.</x:t>
        </x:is>
      </x:c>
    </x:row>
    <x:row r="3">
      <x:c r="A3" s="2" t="inlineStr">
        <x:is>
          <x:t xml:space="preserve">Do not infer correctness from GBM, composite, thresholds, or confidence tier.</x:t>
        </x:is>
      </x:c>
    </x:row>
    <x:row r="4">
      <x:c r="A4" s="2" t="inlineStr">
        <x:is>
          <x:t xml:space="preserve">Allowed reviewer_label values are listed on LabelGuide.</x:t>
        </x:is>
      </x:c>
    </x:row>
    <x:row r="5">
      <x:c r="A5" s="2" t="inlineStr">
        <x:is>
          <x:t xml:space="preserve">Real precision and recall remain UNKNOWN until human labels are complete.</x:t>
        </x:is>
      </x:c>
    </x:row>
    <x:row r="6">
      <x:c r="A6" s="2" t="inlineStr">
        <x:is>
          <x:t xml:space="preserve">An unlinked notice is operationally censored, not a confirmed non-renewal.</x:t>
        </x:is>
      </x:c>
    </x:row>
  </x:sheetData>
  <x:pageMargins left="0.7" right="0.7" top="0.75" bottom="0.75" header="0.3" footer="0.3"/>
</x:worksheet>
</file>

<file path=xl/worksheets/sheet3.xml><?xml version="1.0" encoding="utf-8"?>
<x:worksheet xmlns:x="http://schemas.openxmlformats.org/spreadsheetml/2006/main">
  <x:cols>
    <x:col min="1" max="3" width="34" customWidth="1"/>
  </x:cols>
  <x:sheetData>
    <x:row r="1">
      <x:c r="A1" s="1" t="inlineStr">
        <x:is>
          <x:t xml:space="preserve">reviewer_label</x:t>
        </x:is>
      </x:c>
      <x:c r="B1" s="1" t="inlineStr">
        <x:is>
          <x:t xml:space="preserve">reviewer_confidence</x:t>
        </x:is>
      </x:c>
      <x:c r="C1" s="1" t="inlineStr">
        <x:is>
          <x:t xml:space="preserve">needs_second_review</x:t>
        </x:is>
      </x:c>
    </x:row>
    <x:row r="2">
      <x:c r="A2" t="inlineStr">
        <x:is>
          <x:t xml:space="preserve">CORRECT_LINK</x:t>
        </x:is>
      </x:c>
      <x:c r="B2" t="inlineStr">
        <x:is>
          <x:t xml:space="preserve">HIGH</x:t>
        </x:is>
      </x:c>
      <x:c r="C2" t="inlineStr">
        <x:is>
          <x:t xml:space="preserve">TRUE</x:t>
        </x:is>
      </x:c>
    </x:row>
    <x:row r="3">
      <x:c r="A3" t="inlineStr">
        <x:is>
          <x:t xml:space="preserve">WRONG_LINK</x:t>
        </x:is>
      </x:c>
      <x:c r="B3" t="inlineStr">
        <x:is>
          <x:t xml:space="preserve">MEDIUM</x:t>
        </x:is>
      </x:c>
      <x:c r="C3" t="inlineStr">
        <x:is>
          <x:t xml:space="preserve">FALSE</x:t>
        </x:is>
      </x:c>
    </x:row>
    <x:row r="4">
      <x:c r="A4" t="inlineStr">
        <x:is>
          <x:t xml:space="preserve">MISSED_LINK</x:t>
        </x:is>
      </x:c>
      <x:c r="B4" t="inlineStr">
        <x:is>
          <x:t xml:space="preserve">LOW</x:t>
        </x:is>
      </x:c>
      <x:c r="C4" t="inlineStr">
        <x:is>
          <x:t xml:space="preserve"/>
        </x:is>
      </x:c>
    </x:row>
    <x:row r="5">
      <x:c r="A5" t="inlineStr">
        <x:is>
          <x:t xml:space="preserve">CORRECT_REJECTION</x:t>
        </x:is>
      </x:c>
      <x:c r="B5" t="inlineStr">
        <x:is>
          <x:t xml:space="preserve"/>
        </x:is>
      </x:c>
      <x:c r="C5" t="inlineStr">
        <x:is>
          <x:t xml:space="preserve"/>
        </x:is>
      </x:c>
    </x:row>
    <x:row r="6">
      <x:c r="A6" t="inlineStr">
        <x:is>
          <x:t xml:space="preserve">INSUFFICIENT_INFORMATION</x:t>
        </x:is>
      </x:c>
      <x:c r="B6" t="inlineStr">
        <x:is>
          <x:t xml:space="preserve"/>
        </x:is>
      </x:c>
      <x:c r="C6" t="inlineStr">
        <x:is>
          <x:t xml:space="preserve"/>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1" hidden="0" customWidth="1"/>
    <x:col min="2" max="2" width="19" hidden="0" customWidth="1"/>
    <x:col min="3" max="3" width="4" hidden="0" customWidth="1"/>
    <x:col min="4" max="4" width="40" hidden="0" customWidth="1"/>
    <x:col min="5" max="5" width="18" hidden="0" customWidth="1"/>
    <x:col min="6" max="6" width="14" hidden="0" customWidth="1"/>
    <x:col min="7" max="7" width="14" hidden="0" customWidth="1"/>
    <x:col min="8" max="8" width="14" hidden="0" customWidth="1"/>
  </x:cols>
  <x:sheetData>
    <x:row r="1" ht="34" customHeight="1">
      <x:c r="A1" s="10" t="str">
        <x:v>BOAMP Linkage Manual Validation - Audit Summary</x:v>
      </x:c>
      <x:c r="B1" s="10"/>
      <x:c r="C1" s="10"/>
      <x:c r="D1" s="10"/>
      <x:c r="E1" s="10"/>
      <x:c r="F1" s="10"/>
      <x:c r="G1" s="10"/>
      <x:c r="H1" s="10"/>
    </x:row>
    <x:row r="2">
      <x:c r="A2" s="12" t="str">
        <x:v>Evidence reviewed on 2026-08-06 using the internship guide, official BOAMP records, and same-buyer later-notice searches.</x:v>
      </x:c>
      <x:c r="B2" s="12"/>
      <x:c r="C2" s="12"/>
      <x:c r="D2" s="12"/>
      <x:c r="E2" s="12"/>
      <x:c r="F2" s="12"/>
      <x:c r="G2" s="12"/>
      <x:c r="H2" s="12"/>
    </x:row>
    <x:row r="4">
      <x:c r="A4" s="21" t="str">
        <x:v>Primary manual label</x:v>
      </x:c>
      <x:c r="B4" s="22" t="str">
        <x:v>Count</x:v>
      </x:c>
      <x:c r="D4" s="21" t="str">
        <x:v>Audit diagnostic</x:v>
      </x:c>
      <x:c r="E4" s="22" t="str">
        <x:v>Value</x:v>
      </x:c>
    </x:row>
    <x:row r="5">
      <x:c r="A5" s="23" t="str">
        <x:v>CORRECT_LINK</x:v>
      </x:c>
      <x:c r="B5" s="24" t="n">
        <x:f>COUNTIF('Review'!$C$2:$C$101,A5)</x:f>
        <x:v>8</x:v>
      </x:c>
      <x:c r="D5" s="23" t="str">
        <x:v>Adjudicated accepted primary pairs</x:v>
      </x:c>
      <x:c r="E5" s="24" t="n">
        <x:f>COUNTIF('Review'!$C$2:$C$101,"CORRECT_LINK")+COUNTIF('Review'!$C$2:$C$101,"WRONG_LINK")</x:f>
        <x:v>72</x:v>
      </x:c>
    </x:row>
    <x:row r="6">
      <x:c r="A6" s="23" t="str">
        <x:v>WRONG_LINK</x:v>
      </x:c>
      <x:c r="B6" s="24" t="n">
        <x:f>COUNTIF('Review'!$C$2:$C$101,A6)</x:f>
        <x:v>64</x:v>
      </x:c>
      <x:c r="D6" s="23" t="str">
        <x:v>Correct accepted primary pairs</x:v>
      </x:c>
      <x:c r="E6" s="24" t="n">
        <x:f>COUNTIF('Review'!$C$2:$C$101,"CORRECT_LINK")</x:f>
        <x:v>8</x:v>
      </x:c>
    </x:row>
    <x:row r="7">
      <x:c r="A7" s="23" t="str">
        <x:v>MISSED_LINK</x:v>
      </x:c>
      <x:c r="B7" s="24" t="n">
        <x:f>COUNTIF('Review'!$C$2:$C$101,A7)</x:f>
        <x:v>4</x:v>
      </x:c>
      <x:c r="D7" s="23" t="str">
        <x:v>Wrong accepted primary pairs</x:v>
      </x:c>
      <x:c r="E7" s="24" t="n">
        <x:f>COUNTIF('Review'!$C$2:$C$101,"WRONG_LINK")</x:f>
        <x:v>64</x:v>
      </x:c>
    </x:row>
    <x:row r="8">
      <x:c r="A8" s="23" t="str">
        <x:v>CORRECT_REJECTION</x:v>
      </x:c>
      <x:c r="B8" s="24" t="n">
        <x:f>COUNTIF('Review'!$C$2:$C$101,A8)</x:f>
        <x:v>21</x:v>
      </x:c>
      <x:c r="D8" s="23" t="str">
        <x:v>Correct among adjudicated accepted</x:v>
      </x:c>
      <x:c r="E8" s="27" t="n">
        <x:f>IFERROR(E6/E5,0)</x:f>
        <x:v>0.1111111111111111</x:v>
      </x:c>
    </x:row>
    <x:row r="9">
      <x:c r="A9" s="23" t="str">
        <x:v>INSUFFICIENT_INFORMATION</x:v>
      </x:c>
      <x:c r="B9" s="24" t="n">
        <x:f>COUNTIF('Review'!$C$2:$C$101,A9)</x:f>
        <x:v>3</x:v>
      </x:c>
      <x:c r="D9" s="23" t="str">
        <x:v>Adjudicated rejected/no-candidate cases</x:v>
      </x:c>
      <x:c r="E9" s="28" t="n">
        <x:f>COUNTIF('Review'!$C$2:$C$101,"CORRECT_REJECTION")+COUNTIF('Review'!$C$2:$C$101,"MISSED_LINK")</x:f>
        <x:v>25</x:v>
      </x:c>
    </x:row>
    <x:row r="10">
      <x:c r="A10" s="25" t="str">
        <x:v>Total</x:v>
      </x:c>
      <x:c r="B10" s="26" t="n">
        <x:f>SUM(B5:B9)</x:f>
        <x:v>100</x:v>
      </x:c>
      <x:c r="D10" s="25" t="str">
        <x:v>Missed among adjudicated rejected</x:v>
      </x:c>
      <x:c r="E10" s="29" t="n">
        <x:f>IFERROR(COUNTIF('Review'!$C$2:$C$101,"MISSED_LINK")/E9,0)</x:f>
        <x:v>0.16</x:v>
      </x:c>
    </x:row>
    <x:row r="12">
      <x:c r="A12" s="16" t="str">
        <x:v>Interpretation warnings</x:v>
      </x:c>
      <x:c r="B12" s="16"/>
      <x:c r="C12" s="16"/>
      <x:c r="D12" s="16"/>
      <x:c r="E12" s="16"/>
      <x:c r="F12" s="16"/>
      <x:c r="G12" s="16"/>
      <x:c r="H12" s="16"/>
    </x:row>
    <x:row r="13" ht="34" customHeight="1">
      <x:c r="A13" s="6" t="str">
        <x:v>This is a stratified diagnostic sample. Do not report the unweighted proportions above as population precision, recall, or an overall linking rate.</x:v>
      </x:c>
      <x:c r="B13" s="6"/>
      <x:c r="C13" s="6"/>
      <x:c r="D13" s="6"/>
      <x:c r="E13" s="6"/>
      <x:c r="F13" s="6"/>
      <x:c r="G13" s="6"/>
      <x:c r="H13" s="6"/>
    </x:row>
    <x:row r="14" ht="34" customHeight="1">
      <x:c r="A14" s="6" t="str">
        <x:v>The primary label evaluates candidate_notice_id. Seven rows contain a different linked candidate from the other algorithm; those pairs are reviewed separately on the Evidence sheet.</x:v>
      </x:c>
      <x:c r="B14" s="6"/>
      <x:c r="C14" s="6"/>
      <x:c r="D14" s="6"/>
      <x:c r="E14" s="6"/>
      <x:c r="F14" s="6"/>
      <x:c r="G14" s="6"/>
      <x:c r="H14" s="6"/>
    </x:row>
    <x:row r="15" ht="34" customHeight="1">
      <x:c r="A15" s="6" t="str">
        <x:v>Rectificatifs, annulations and version updates are part of the same notice lifecycle. They are not renewal events.</x:v>
      </x:c>
      <x:c r="B15" s="6"/>
      <x:c r="C15" s="6"/>
      <x:c r="D15" s="6"/>
      <x:c r="E15" s="6"/>
      <x:c r="F15" s="6"/>
      <x:c r="G15" s="6"/>
      <x:c r="H15" s="6"/>
    </x:row>
    <x:row r="16" ht="34" customHeight="1">
      <x:c r="A16" s="6" t="str">
        <x:v>A no-link result is operational right-censoring, not proof that the procurement need was never renewed.</x:v>
      </x:c>
      <x:c r="B16" s="6"/>
      <x:c r="C16" s="6"/>
      <x:c r="D16" s="6"/>
      <x:c r="E16" s="6"/>
      <x:c r="F16" s="6"/>
      <x:c r="G16" s="6"/>
      <x:c r="H16" s="6"/>
    </x:row>
    <x:row r="17" ht="34" customHeight="1">
      <x:c r="A17" s="6" t="str">
        <x:v>CORRECT_LINK includes explicit relaunches and defensible reprocurements of the same need. Medium-confidence cases should receive a second reviewer before freezing the event rule.</x:v>
      </x:c>
      <x:c r="B17" s="6"/>
      <x:c r="C17" s="6"/>
      <x:c r="D17" s="6"/>
      <x:c r="E17" s="6"/>
      <x:c r="F17" s="6"/>
      <x:c r="G17" s="6"/>
      <x:c r="H17" s="6"/>
    </x:row>
    <x:row r="19">
      <x:c r="A19" s="16" t="str">
        <x:v>Evidence standard</x:v>
      </x:c>
      <x:c r="B19" s="16"/>
      <x:c r="C19" s="16"/>
      <x:c r="D19" s="16"/>
      <x:c r="E19" s="16"/>
      <x:c r="F19" s="16"/>
      <x:c r="G19" s="16"/>
      <x:c r="H19" s="16"/>
    </x:row>
    <x:row r="20" ht="38" customHeight="1">
      <x:c r="A20" s="18" t="str">
        <x:v>Primary framework</x:v>
      </x:c>
      <x:c r="B20" s="6" t="str">
        <x:v>Internship_Guide___Predictive_Modeling.pdf, sections 3.2.1 and 4.1.3</x:v>
      </x:c>
      <x:c r="C20" s="6"/>
      <x:c r="D20" s="6"/>
      <x:c r="E20" s="6"/>
      <x:c r="F20" s="6"/>
      <x:c r="G20" s="6"/>
      <x:c r="H20" s="6"/>
    </x:row>
    <x:row r="21" ht="38" customHeight="1">
      <x:c r="A21" s="18" t="str">
        <x:v>Core evidence</x:v>
      </x:c>
      <x:c r="B21" s="6" t="str">
        <x:v>Buyer identity, procurement object and lot, CPV/category, timing, duration, notice status, notice links/version and later same-buyer records</x:v>
      </x:c>
      <x:c r="C21" s="6"/>
      <x:c r="D21" s="6"/>
      <x:c r="E21" s="6"/>
      <x:c r="F21" s="6"/>
      <x:c r="G21" s="6"/>
      <x:c r="H21" s="6"/>
    </x:row>
    <x:row r="22" ht="38" customHeight="1">
      <x:c r="A22" s="18" t="str">
        <x:v>Decision principle</x:v>
      </x:c>
      <x:c r="B22" s="6" t="str">
        <x:v>A later notice must be a distinct procurement for continuation, replacement, renewal or relaunch of substantially the same need. Similar wording alone is insufficient.</x:v>
      </x:c>
      <x:c r="C22" s="6"/>
      <x:c r="D22" s="6"/>
      <x:c r="E22" s="6"/>
      <x:c r="F22" s="6"/>
      <x:c r="G22" s="6"/>
      <x:c r="H22" s="6"/>
    </x:row>
  </x:sheetData>
  <x:mergeCells>
    <x:mergeCell ref="A1:H1"/>
    <x:mergeCell ref="A2:H2"/>
    <x:mergeCell ref="A12:H12"/>
    <x:mergeCell ref="A13:H13"/>
    <x:mergeCell ref="A14:H14"/>
    <x:mergeCell ref="A15:H15"/>
    <x:mergeCell ref="A16:H16"/>
    <x:mergeCell ref="A17:H17"/>
    <x:mergeCell ref="A19:H19"/>
    <x:mergeCell ref="B20:H20"/>
    <x:mergeCell ref="B21:H21"/>
    <x:mergeCell ref="B22:H2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24" hidden="0" customWidth="1"/>
    <x:col min="4" max="4" width="12" hidden="0" customWidth="1"/>
    <x:col min="5" max="5" width="55" hidden="0" customWidth="1"/>
    <x:col min="6" max="6" width="48" hidden="0" customWidth="1"/>
    <x:col min="7" max="7" width="48" hidden="0" customWidth="1"/>
    <x:col min="8" max="8" width="44" hidden="0" customWidth="1"/>
    <x:col min="9" max="9" width="23" hidden="0" customWidth="1"/>
    <x:col min="10" max="10" width="48" hidden="0" customWidth="1"/>
    <x:col min="11" max="11" width="45" hidden="0" customWidth="1"/>
    <x:col min="12" max="12" width="43" hidden="0" customWidth="1"/>
    <x:col min="13" max="13" width="23" hidden="0" customWidth="1"/>
    <x:col min="14" max="14" width="15" hidden="0" customWidth="1"/>
    <x:col min="15" max="15" width="22" hidden="0" customWidth="1"/>
    <x:col min="16" max="16" width="20" hidden="0" customWidth="1"/>
    <x:col min="17" max="17" width="55" hidden="0" customWidth="1"/>
    <x:col min="18" max="18" width="45" hidden="0" customWidth="1"/>
  </x:cols>
  <x:sheetData>
    <x:row r="1">
      <x:c r="A1" s="31" t="str">
        <x:v>case_id</x:v>
      </x:c>
      <x:c r="B1" s="31" t="str">
        <x:v>primary_pair_reviewed</x:v>
      </x:c>
      <x:c r="C1" s="31" t="str">
        <x:v>manual_label</x:v>
      </x:c>
      <x:c r="D1" s="31" t="str">
        <x:v>confidence</x:v>
      </x:c>
      <x:c r="E1" s="31" t="str">
        <x:v>rationale</x:v>
      </x:c>
      <x:c r="F1" s="31" t="str">
        <x:v>official_evidence</x:v>
      </x:c>
      <x:c r="G1" s="31" t="str">
        <x:v>source_urls</x:v>
      </x:c>
      <x:c r="H1" s="31" t="str">
        <x:v>contradicting_evidence</x:v>
      </x:c>
      <x:c r="I1" s="31" t="str">
        <x:v>alternative_successor_id</x:v>
      </x:c>
      <x:c r="J1" s="31" t="str">
        <x:v>alternative_successor_text</x:v>
      </x:c>
      <x:c r="K1" s="31" t="str">
        <x:v>alternative_successor_url</x:v>
      </x:c>
      <x:c r="L1" s="31" t="str">
        <x:v>evidence_scope</x:v>
      </x:c>
      <x:c r="M1" s="31" t="str">
        <x:v>other_linked_candidate_id</x:v>
      </x:c>
      <x:c r="N1" s="31" t="str">
        <x:v>other_algorithm</x:v>
      </x:c>
      <x:c r="O1" s="31" t="str">
        <x:v>other_candidate_label</x:v>
      </x:c>
      <x:c r="P1" s="31" t="str">
        <x:v>other_candidate_confidence</x:v>
      </x:c>
      <x:c r="Q1" s="31" t="str">
        <x:v>other_candidate_notes</x:v>
      </x:c>
      <x:c r="R1" s="31" t="str">
        <x:v>other_candidate_url</x:v>
      </x:c>
    </x:row>
    <x:row r="2" ht="72" customHeight="1">
      <x:c r="A2" s="6" t="str">
        <x:v>AUDIT-001</x:v>
      </x:c>
      <x:c r="B2" s="6" t="str">
        <x:v>17-134974 -&gt; 18-73911</x:v>
      </x:c>
      <x:c r="C2" s="6" t="str">
        <x:v>CORRECT_LINK</x:v>
      </x:c>
      <x:c r="D2" s="6" t="str">
        <x:v>MEDIUM</x:v>
      </x:c>
      <x:c r="E2" s="6" t="str">
        <x:v>The candidate is the finance-software need that appeared as lot 1 of the eight-lot source notice. Same buyer, same functional lot and a later separate initial notice make a lot relaunch/continuation plausible; BOAMP does not explicitly link the notices.</x:v>
      </x:c>
      <x:c r="F2" s="6" t="str">
        <x:v>Official BOAMP records: source 17-134974 (INITIAL/APPEL_OFFRE, 2017-09-25); candidate 18-73911 (INITIAL/APPEL_OFFRE, 2018-06-07); gap 8.3771 months.</x:v>
      </x:c>
      <x:c r="G2" s="6" t="str">
        <x:v>https://www.boamp.fr/pages/avis/?q=idweb:17-134974
https://www.boamp.fr/pages/avis/?q=idweb:18-73911</x:v>
      </x:c>
      <x:c r="H2" s="6" t="str">
        <x:v>No explicit direct BOAMP notice link was available.</x:v>
      </x:c>
      <x:c r="I2" s="6" t="str"/>
      <x:c r="J2" s="6" t="str"/>
      <x:c r="K2" s="6" t="str"/>
      <x:c r="L2" s="6" t="str">
        <x:v>Internship guide linkage definition; official BOAMP record fields; same-buyer later-notice search; secondary public procurement source where noted.</x:v>
      </x:c>
      <x:c r="M2" s="6" t="str"/>
      <x:c r="N2" s="6" t="str"/>
      <x:c r="O2" s="6" t="str"/>
      <x:c r="P2" s="6" t="str"/>
      <x:c r="Q2" s="6" t="str"/>
      <x:c r="R2" s="6" t="str"/>
    </x:row>
    <x:row r="3" ht="72" customHeight="1">
      <x:c r="A3" s="6" t="str">
        <x:v>AUDIT-002</x:v>
      </x:c>
      <x:c r="B3" s="6" t="str">
        <x:v>17-139193 -&gt; 17-159853</x:v>
      </x:c>
      <x:c r="C3" s="6" t="str">
        <x:v>WRONG_LINK</x:v>
      </x:c>
      <x:c r="D3" s="6" t="str">
        <x:v>MEDIUM</x:v>
      </x:c>
      <x:c r="E3" s="6" t="str">
        <x:v>The source is 'Maintenance et support technique du logiciel Business Object et 360 View et prestations associées' while the candidate is 'Fourniture, maintenance des logiciels et produits ESRI et prestations associées'. The concrete functions/equipment are materially different; same buyer and broad digital/CPV similarity do not establish a renewal or relaunch.</x:v>
      </x:c>
      <x:c r="F3" s="6" t="str">
        <x:v>Official BOAMP records: source 17-139193 (INITIAL/APPEL_OFFRE, 2017-10-04); candidate 17-159853 (INITIAL/APPEL_OFFRE, 2017-11-13); gap 1.3140 months.</x:v>
      </x:c>
      <x:c r="G3" s="6" t="str">
        <x:v>https://www.boamp.fr/pages/avis/?q=idweb:17-139193
https://www.boamp.fr/pages/avis/?q=idweb:17-159853</x:v>
      </x:c>
      <x:c r="H3" s="6" t="str">
        <x:v>Buyer agreement, CPV proximity or generic wording may have increased the algorithm score, but these signals are not specific enough.</x:v>
      </x:c>
      <x:c r="I3" s="6" t="str"/>
      <x:c r="J3" s="6" t="str"/>
      <x:c r="K3" s="6" t="str"/>
      <x:c r="L3" s="6" t="str">
        <x:v>Internship guide linkage definition; official BOAMP record fields; same-buyer later-notice search; secondary public procurement source where noted.</x:v>
      </x:c>
      <x:c r="M3" s="6" t="str"/>
      <x:c r="N3" s="6" t="str"/>
      <x:c r="O3" s="6" t="str"/>
      <x:c r="P3" s="6" t="str"/>
      <x:c r="Q3" s="6" t="str"/>
      <x:c r="R3" s="6" t="str"/>
    </x:row>
    <x:row r="4" ht="72" customHeight="1">
      <x:c r="A4" s="6" t="str">
        <x:v>AUDIT-003</x:v>
      </x:c>
      <x:c r="B4" s="6" t="str">
        <x:v>15-192276 -&gt; 16-94711</x:v>
      </x:c>
      <x:c r="C4" s="6" t="str">
        <x:v>WRONG_LINK</x:v>
      </x:c>
      <x:c r="D4" s="6" t="str">
        <x:v>HIGH</x:v>
      </x:c>
      <x:c r="E4" s="6" t="str">
        <x:v>The source is 'création d'un système d'information des données abonnés et patrimoine du service public d'eau potable (relance de la procédure à la su…' while the candidate is 'Développement d'un outil de gestion dynamique des retenues - Département de la Vendée'. The concrete functions/equipment are materially different; same buyer and broad digital/CPV similarity do not establish a renewal or relaunch.</x:v>
      </x:c>
      <x:c r="F4" s="6" t="str">
        <x:v>Official BOAMP records: source 15-192276 (INITIAL/APPEL_OFFRE, 2016-02-05); candidate 16-94711 (INITIAL/APPEL_OFFRE, 2016-07-04); gap 4.9277 months.</x:v>
      </x:c>
      <x:c r="G4" s="6" t="str">
        <x:v>https://www.boamp.fr/pages/avis/?q=idweb:15-192276
https://www.boamp.fr/pages/avis/?q=idweb:16-94711</x:v>
      </x:c>
      <x:c r="H4" s="6" t="str">
        <x:v>Buyer agreement, CPV proximity or generic wording may have increased the algorithm score, but these signals are not specific enough.</x:v>
      </x:c>
      <x:c r="I4" s="6" t="str"/>
      <x:c r="J4" s="6" t="str"/>
      <x:c r="K4" s="6" t="str"/>
      <x:c r="L4" s="6" t="str">
        <x:v>Internship guide linkage definition; official BOAMP record fields; same-buyer later-notice search; secondary public procurement source where noted.</x:v>
      </x:c>
      <x:c r="M4" s="6" t="str"/>
      <x:c r="N4" s="6" t="str"/>
      <x:c r="O4" s="6" t="str"/>
      <x:c r="P4" s="6" t="str"/>
      <x:c r="Q4" s="6" t="str"/>
      <x:c r="R4" s="6" t="str"/>
    </x:row>
    <x:row r="5" ht="72" customHeight="1">
      <x:c r="A5" s="6" t="str">
        <x:v>AUDIT-004</x:v>
      </x:c>
      <x:c r="B5" s="6" t="str">
        <x:v>17-76616 -&gt; 17-129614</x:v>
      </x:c>
      <x:c r="C5" s="6" t="str">
        <x:v>WRONG_LINK</x:v>
      </x:c>
      <x:c r="D5" s="6" t="str">
        <x:v>HIGH</x:v>
      </x:c>
      <x:c r="E5" s="6" t="str">
        <x:v>The source is 'tierce maintenance applicative sur géonantes, portail géographique intranet, extranet et internet de nantes métropole (maintien en con…' while the candidate is 'tierce maintenance applicative du système d'information ressources (s.i.r.h.) pour le compte de nantes métropole'. The concrete functions/equipment are materially different; same buyer and broad digital/CPV similarity do not establish a renewal or relaunch.</x:v>
      </x:c>
      <x:c r="F5" s="6" t="str">
        <x:v>Official BOAMP records: source 17-76616 (INITIAL/APPEL_OFFRE, 2017-06-03); candidate 17-129614 (INITIAL/APPEL_OFFRE, 2017-12-21); gap 6.6031 months.</x:v>
      </x:c>
      <x:c r="G5" s="6" t="str">
        <x:v>https://www.boamp.fr/pages/avis/?q=idweb:17-76616
https://www.boamp.fr/pages/avis/?q=idweb:17-129614</x:v>
      </x:c>
      <x:c r="H5" s="6" t="str">
        <x:v>Buyer agreement, CPV proximity or generic wording may have increased the algorithm score, but these signals are not specific enough.</x:v>
      </x:c>
      <x:c r="I5" s="6" t="str"/>
      <x:c r="J5" s="6" t="str"/>
      <x:c r="K5" s="6" t="str"/>
      <x:c r="L5" s="6" t="str">
        <x:v>Internship guide linkage definition; official BOAMP record fields; same-buyer later-notice search; secondary public procurement source where noted.</x:v>
      </x:c>
      <x:c r="M5" s="6" t="str">
        <x:v>17-106009</x:v>
      </x:c>
      <x:c r="N5" s="6" t="str">
        <x:v>COMPOSITE</x:v>
      </x:c>
      <x:c r="O5" s="6" t="str">
        <x:v>WRONG_LINK</x:v>
      </x:c>
      <x:c r="P5" s="6" t="str">
        <x:v>MEDIUM</x:v>
      </x:c>
      <x:c r="Q5" s="6" t="str">
        <x:v>Composite candidate 17-106009 repeats the GeoNantes object only 53 days after a 48-month source notice. With no relaunch evidence, it is most consistent with a duplicate/republication of the same procedure, not a renewal.</x:v>
      </x:c>
      <x:c r="R5" s="6" t="str">
        <x:v>https://www.boamp.fr/pages/avis/?q=idweb:17-106009</x:v>
      </x:c>
    </x:row>
    <x:row r="6" ht="72" customHeight="1">
      <x:c r="A6" s="6" t="str">
        <x:v>AUDIT-005</x:v>
      </x:c>
      <x:c r="B6" s="6" t="str">
        <x:v>17-161606 -&gt; 18-55179</x:v>
      </x:c>
      <x:c r="C6" s="6" t="str">
        <x:v>WRONG_LINK</x:v>
      </x:c>
      <x:c r="D6" s="6" t="str">
        <x:v>HIGH</x:v>
      </x:c>
      <x:c r="E6" s="6" t="str">
        <x:v>The source is '17S0075 - Travaux d'installation d'équipements audiovisuels dans le cadre de la modernisation ou la création de salles de réunion pour…' while the candidate is '18s0030 fourniture d'un équipement d'inspection télévisée des réseaux d'assainissement et d'un logiciel d'édition des rapports d'inspe…'. The concrete functions/equipment are materially different; same buyer and broad digital/CPV similarity do not establish a renewal or relaunch.</x:v>
      </x:c>
      <x:c r="F6" s="6" t="str">
        <x:v>Official BOAMP records: source 17-161606 (INITIAL/APPEL_OFFRE, 2017-11-23); candidate 18-55179 (INITIAL/APPEL_OFFRE, 2018-04-27); gap 5.0919 months.</x:v>
      </x:c>
      <x:c r="G6" s="6" t="str">
        <x:v>https://www.boamp.fr/pages/avis/?q=idweb:17-161606
https://www.boamp.fr/pages/avis/?q=idweb:18-55179</x:v>
      </x:c>
      <x:c r="H6" s="6" t="str">
        <x:v>Buyer agreement, CPV proximity or generic wording may have increased the algorithm score, but these signals are not specific enough.</x:v>
      </x:c>
      <x:c r="I6" s="6" t="str"/>
      <x:c r="J6" s="6" t="str"/>
      <x:c r="K6" s="6" t="str"/>
      <x:c r="L6" s="6" t="str">
        <x:v>Internship guide linkage definition; official BOAMP record fields; same-buyer later-notice search; secondary public procurement source where noted.</x:v>
      </x:c>
      <x:c r="M6" s="6" t="str"/>
      <x:c r="N6" s="6" t="str"/>
      <x:c r="O6" s="6" t="str"/>
      <x:c r="P6" s="6" t="str"/>
      <x:c r="Q6" s="6" t="str"/>
      <x:c r="R6" s="6" t="str"/>
    </x:row>
    <x:row r="7" ht="72" customHeight="1">
      <x:c r="A7" s="6" t="str">
        <x:v>AUDIT-006</x:v>
      </x:c>
      <x:c r="B7" s="6" t="str">
        <x:v>21-124527 -&gt; 21-130046</x:v>
      </x:c>
      <x:c r="C7" s="6" t="str">
        <x:v>WRONG_LINK</x:v>
      </x:c>
      <x:c r="D7" s="6" t="str">
        <x:v>HIGH</x:v>
      </x:c>
      <x:c r="E7" s="6" t="str">
        <x:v>The candidate is an official RECTIFICATIF linked to the source notice, not a new contract or renewal. Treating a corrected version as a survival event is incorrect.</x:v>
      </x:c>
      <x:c r="F7" s="6" t="str">
        <x:v>Official BOAMP records: source 21-124527 (INITIAL/APPEL_OFFRE, 2021-09-16); candidate 21-130046 (RECTIFICATIF/APPEL_OFFRE, 2021-09-29); gap 0.4270 months.</x:v>
      </x:c>
      <x:c r="G7" s="6" t="str">
        <x:v>https://www.boamp.fr/pages/avis/?q=idweb:21-124527
https://www.boamp.fr/pages/avis/?q=idweb:21-130046</x:v>
      </x:c>
      <x:c r="H7" s="6" t="str">
        <x:v>Buyer agreement, CPV proximity or generic wording may have increased the algorithm score, but these signals are not specific enough.</x:v>
      </x:c>
      <x:c r="I7" s="6" t="str"/>
      <x:c r="J7" s="6" t="str"/>
      <x:c r="K7" s="6" t="str"/>
      <x:c r="L7" s="6" t="str">
        <x:v>Internship guide linkage definition; official BOAMP record fields; same-buyer later-notice search; secondary public procurement source where noted.</x:v>
      </x:c>
      <x:c r="M7" s="6" t="str"/>
      <x:c r="N7" s="6" t="str"/>
      <x:c r="O7" s="6" t="str"/>
      <x:c r="P7" s="6" t="str"/>
      <x:c r="Q7" s="6" t="str"/>
      <x:c r="R7" s="6" t="str"/>
    </x:row>
    <x:row r="8" ht="72" customHeight="1">
      <x:c r="A8" s="6" t="str">
        <x:v>AUDIT-007</x:v>
      </x:c>
      <x:c r="B8" s="6" t="str">
        <x:v>16-45870 -&gt; 16-70219</x:v>
      </x:c>
      <x:c r="C8" s="6" t="str">
        <x:v>WRONG_LINK</x:v>
      </x:c>
      <x:c r="D8" s="6" t="str">
        <x:v>MEDIUM</x:v>
      </x:c>
      <x:c r="E8" s="6" t="str">
        <x:v>The source is 'Fourniture et maintenance des logiciels Business Geografic (CIRIL GROUP), prestations annexes et de support pour le compte d'Angers Lo…' while the candidate is 'Acquisition, maintenance et prestations associées d'une solution de paiement dématérialisé du stationnement payant sur voirie à Angers'. The concrete functions/equipment are materially different; same buyer and broad digital/CPV similarity do not establish a renewal or relaunch.</x:v>
      </x:c>
      <x:c r="F8" s="6" t="str">
        <x:v>Official BOAMP records: source 16-45870 (INITIAL/APPEL_OFFRE, 2016-03-30); candidate 16-70219 (INITIAL/APPEL_OFFRE, 2016-05-17); gap 1.5768 months.</x:v>
      </x:c>
      <x:c r="G8" s="6" t="str">
        <x:v>https://www.boamp.fr/pages/avis/?q=idweb:16-45870
https://www.boamp.fr/pages/avis/?q=idweb:16-70219</x:v>
      </x:c>
      <x:c r="H8" s="6" t="str">
        <x:v>Buyer agreement, CPV proximity or generic wording may have increased the algorithm score, but these signals are not specific enough.</x:v>
      </x:c>
      <x:c r="I8" s="6" t="str"/>
      <x:c r="J8" s="6" t="str"/>
      <x:c r="K8" s="6" t="str"/>
      <x:c r="L8" s="6" t="str">
        <x:v>Internship guide linkage definition; official BOAMP record fields; same-buyer later-notice search; secondary public procurement source where noted.</x:v>
      </x:c>
      <x:c r="M8" s="6" t="str"/>
      <x:c r="N8" s="6" t="str"/>
      <x:c r="O8" s="6" t="str"/>
      <x:c r="P8" s="6" t="str"/>
      <x:c r="Q8" s="6" t="str"/>
      <x:c r="R8" s="6" t="str"/>
    </x:row>
    <x:row r="9" ht="72" customHeight="1">
      <x:c r="A9" s="6" t="str">
        <x:v>AUDIT-008</x:v>
      </x:c>
      <x:c r="B9" s="6" t="str">
        <x:v>17-9361 -&gt; 17-35545</x:v>
      </x:c>
      <x:c r="C9" s="6" t="str">
        <x:v>WRONG_LINK</x:v>
      </x:c>
      <x:c r="D9" s="6" t="str">
        <x:v>HIGH</x:v>
      </x:c>
      <x:c r="E9" s="6" t="str">
        <x:v>The source is 'FOURNITURE ET MAINTENANCE D'UNE SOLUTION INFORMATISEE DE GESTION DES CHECK-LIST DE BLOCS OPERATOIRES' while the candidate is 'Fourniture, Installation, Paramétrage, Intégration, Déploiement et Maintenance d'une solution d'automatisation de la prise en charge d…'. The concrete functions/equipment are materially different; same buyer and broad digital/CPV similarity do not establish a renewal or relaunch.</x:v>
      </x:c>
      <x:c r="F9" s="6" t="str">
        <x:v>Official BOAMP records: source 17-9361 (INITIAL/APPEL_OFFRE, 2017-01-19); candidate 17-35545 (INITIAL/APPEL_OFFRE, 2017-03-16); gap 1.8396 months.</x:v>
      </x:c>
      <x:c r="G9" s="6" t="str">
        <x:v>https://www.boamp.fr/pages/avis/?q=idweb:17-9361
https://www.boamp.fr/pages/avis/?q=idweb:17-35545</x:v>
      </x:c>
      <x:c r="H9" s="6" t="str">
        <x:v>Buyer agreement, CPV proximity or generic wording may have increased the algorithm score, but these signals are not specific enough.</x:v>
      </x:c>
      <x:c r="I9" s="6" t="str"/>
      <x:c r="J9" s="6" t="str"/>
      <x:c r="K9" s="6" t="str"/>
      <x:c r="L9" s="6" t="str">
        <x:v>Internship guide linkage definition; official BOAMP record fields; same-buyer later-notice search; secondary public procurement source where noted.</x:v>
      </x:c>
      <x:c r="M9" s="6" t="str"/>
      <x:c r="N9" s="6" t="str"/>
      <x:c r="O9" s="6" t="str"/>
      <x:c r="P9" s="6" t="str"/>
      <x:c r="Q9" s="6" t="str"/>
      <x:c r="R9" s="6" t="str"/>
    </x:row>
    <x:row r="10" ht="72" customHeight="1">
      <x:c r="A10" s="6" t="str">
        <x:v>AUDIT-009</x:v>
      </x:c>
      <x:c r="B10" s="6" t="str">
        <x:v>22-94809 -&gt; 23-70584</x:v>
      </x:c>
      <x:c r="C10" s="6" t="str">
        <x:v>CORRECT_LINK</x:v>
      </x:c>
      <x:c r="D10" s="6" t="str">
        <x:v>HIGH</x:v>
      </x:c>
      <x:c r="E10" s="6" t="str">
        <x:v>The candidate explicitly states that it is the relaunch of consultation 2022061514mcb, which was lot 2 of the source notice for the public-terminal management system. Buyer SIRET and CPV 48160000 also agree.</x:v>
      </x:c>
      <x:c r="F10" s="6" t="str">
        <x:v>Official BOAMP records: source 22-94809 (INITIAL/APPEL_OFFRE, 2022-07-08); candidate 23-70584 (INITIAL/APPEL_OFFRE, 2023-05-24); gap 10.512 months.</x:v>
      </x:c>
      <x:c r="G10" s="6" t="str">
        <x:v>https://www.boamp.fr/pages/avis/?q=idweb:22-94809
https://www.boamp.fr/pages/avis/?q=idweb:23-70584</x:v>
      </x:c>
      <x:c r="H10" s="6" t="str">
        <x:v>None material.</x:v>
      </x:c>
      <x:c r="I10" s="6" t="str"/>
      <x:c r="J10" s="6" t="str"/>
      <x:c r="K10" s="6" t="str"/>
      <x:c r="L10" s="6" t="str">
        <x:v>Internship guide linkage definition; official BOAMP record fields; same-buyer later-notice search; secondary public procurement source where noted.</x:v>
      </x:c>
      <x:c r="M10" s="6" t="str"/>
      <x:c r="N10" s="6" t="str"/>
      <x:c r="O10" s="6" t="str"/>
      <x:c r="P10" s="6" t="str"/>
      <x:c r="Q10" s="6" t="str"/>
      <x:c r="R10" s="6" t="str"/>
    </x:row>
    <x:row r="11" ht="72" customHeight="1">
      <x:c r="A11" s="6" t="str">
        <x:v>AUDIT-010</x:v>
      </x:c>
      <x:c r="B11" s="6" t="str">
        <x:v>15-86342 -&gt; 16-63741</x:v>
      </x:c>
      <x:c r="C11" s="6" t="str">
        <x:v>WRONG_LINK</x:v>
      </x:c>
      <x:c r="D11" s="6" t="str">
        <x:v>MEDIUM</x:v>
      </x:c>
      <x:c r="E11" s="6" t="str">
        <x:v>The source is 'services de téléphonie fixe analogique et numérique de base et services de téléphonie fixe secondaire pour les établissements départem…' while the candidate is 'services de télécommunications, téléphonie et réseau numérique pour l'ensemble d..'. The concrete functions/equipment are materially different; same buyer and broad digital/CPV similarity do not establish a renewal or relaunch.</x:v>
      </x:c>
      <x:c r="F11" s="6" t="str">
        <x:v>Official BOAMP records: source 15-86342 (INITIAL/APPEL_OFFRE, 2015-06-05); candidate 16-63741 (INITIAL/APPEL_OFFRE, 2016-05-05); gap 11.005 months.</x:v>
      </x:c>
      <x:c r="G11" s="6" t="str">
        <x:v>https://www.boamp.fr/pages/avis/?q=idweb:15-86342
https://www.boamp.fr/pages/avis/?q=idweb:16-63741</x:v>
      </x:c>
      <x:c r="H11" s="6" t="str">
        <x:v>Buyer agreement, CPV proximity or generic wording may have increased the algorithm score, but these signals are not specific enough.</x:v>
      </x:c>
      <x:c r="I11" s="6" t="str"/>
      <x:c r="J11" s="6" t="str"/>
      <x:c r="K11" s="6" t="str"/>
      <x:c r="L11" s="6" t="str">
        <x:v>Internship guide linkage definition; official BOAMP record fields; same-buyer later-notice search; secondary public procurement source where noted.</x:v>
      </x:c>
      <x:c r="M11" s="6" t="str"/>
      <x:c r="N11" s="6" t="str"/>
      <x:c r="O11" s="6" t="str"/>
      <x:c r="P11" s="6" t="str"/>
      <x:c r="Q11" s="6" t="str"/>
      <x:c r="R11" s="6" t="str"/>
    </x:row>
    <x:row r="12" ht="72" customHeight="1">
      <x:c r="A12" s="6" t="str">
        <x:v>AUDIT-011</x:v>
      </x:c>
      <x:c r="B12" s="6" t="str">
        <x:v>25-110291 -&gt; 25-121229</x:v>
      </x:c>
      <x:c r="C12" s="6" t="str">
        <x:v>WRONG_LINK</x:v>
      </x:c>
      <x:c r="D12" s="6" t="str">
        <x:v>HIGH</x:v>
      </x:c>
      <x:c r="E12" s="6" t="str">
        <x:v>The two eForms notices share the same ContractFolderID and procurement ID; the candidate is version 02 and identifies version 01 as the changed notice. It is a notice update, not a renewal.</x:v>
      </x:c>
      <x:c r="F12" s="6" t="str">
        <x:v>Official BOAMP records: source 25-110291 (INITIAL/APPEL_OFFRE, 2025-10-05); candidate 25-121229 (INITIAL/APPEL_OFFRE, 2025-10-31); gap 0.8541 months.</x:v>
      </x:c>
      <x:c r="G12" s="6" t="str">
        <x:v>https://www.boamp.fr/pages/avis/?q=idweb:25-110291
https://www.boamp.fr/pages/avis/?q=idweb:25-121229</x:v>
      </x:c>
      <x:c r="H12" s="6" t="str">
        <x:v>Buyer agreement, CPV proximity or generic wording may have increased the algorithm score, but these signals are not specific enough.</x:v>
      </x:c>
      <x:c r="I12" s="6" t="str"/>
      <x:c r="J12" s="6" t="str"/>
      <x:c r="K12" s="6" t="str"/>
      <x:c r="L12" s="6" t="str">
        <x:v>Internship guide linkage definition; official BOAMP record fields; same-buyer later-notice search; secondary public procurement source where noted.</x:v>
      </x:c>
      <x:c r="M12" s="6" t="str"/>
      <x:c r="N12" s="6" t="str"/>
      <x:c r="O12" s="6" t="str"/>
      <x:c r="P12" s="6" t="str"/>
      <x:c r="Q12" s="6" t="str"/>
      <x:c r="R12" s="6" t="str"/>
    </x:row>
    <x:row r="13" ht="72" customHeight="1">
      <x:c r="A13" s="6" t="str">
        <x:v>AUDIT-012</x:v>
      </x:c>
      <x:c r="B13" s="6" t="str">
        <x:v>24-82099 -&gt; 24-83982</x:v>
      </x:c>
      <x:c r="C13" s="6" t="str">
        <x:v>WRONG_LINK</x:v>
      </x:c>
      <x:c r="D13" s="6" t="str">
        <x:v>HIGH</x:v>
      </x:c>
      <x:c r="E13" s="6" t="str">
        <x:v>The source is 'Réalisation de modélisations hydrosédimentaires dans le cadre du projet EOLE. lieu : Circonscription du GPMNSN.' while the candidate is 'Etudes en vue de la remotorisation d'un pont basculant à Saint-Nazaire'. The concrete functions/equipment are materially different; same buyer and broad digital/CPV similarity do not establish a renewal or relaunch.</x:v>
      </x:c>
      <x:c r="F13" s="6" t="str">
        <x:v>Official BOAMP records: source 24-82099 (INITIAL/APPEL_OFFRE, 2024-07-11); candidate 24-83982 (INITIAL/APPEL_OFFRE, 2024-07-16); gap 0.1642 months.</x:v>
      </x:c>
      <x:c r="G13" s="6" t="str">
        <x:v>https://www.boamp.fr/pages/avis/?q=idweb:24-82099
https://www.boamp.fr/pages/avis/?q=idweb:24-83982</x:v>
      </x:c>
      <x:c r="H13" s="6" t="str">
        <x:v>Buyer agreement, CPV proximity or generic wording may have increased the algorithm score, but these signals are not specific enough.</x:v>
      </x:c>
      <x:c r="I13" s="6" t="str"/>
      <x:c r="J13" s="6" t="str"/>
      <x:c r="K13" s="6" t="str"/>
      <x:c r="L13" s="6" t="str">
        <x:v>Internship guide linkage definition; official BOAMP record fields; same-buyer later-notice search; secondary public procurement source where noted.</x:v>
      </x:c>
      <x:c r="M13" s="6" t="str"/>
      <x:c r="N13" s="6" t="str"/>
      <x:c r="O13" s="6" t="str"/>
      <x:c r="P13" s="6" t="str"/>
      <x:c r="Q13" s="6" t="str"/>
      <x:c r="R13" s="6" t="str"/>
    </x:row>
    <x:row r="14" ht="72" customHeight="1">
      <x:c r="A14" s="6" t="str">
        <x:v>AUDIT-013</x:v>
      </x:c>
      <x:c r="B14" s="6" t="str">
        <x:v>15-102348 -&gt; 16-48016</x:v>
      </x:c>
      <x:c r="C14" s="6" t="str">
        <x:v>CORRECT_LINK</x:v>
      </x:c>
      <x:c r="D14" s="6" t="str">
        <x:v>MEDIUM</x:v>
      </x:c>
      <x:c r="E14" s="6" t="str">
        <x:v>Both notices concern the same university Wi-Fi infrastructure. The first extends high-density coverage; the later notice refits the high-density Wi-Fi platform and keeps the same main equipment/maintenance CPVs. This is a credible continuation of the same technical need.</x:v>
      </x:c>
      <x:c r="F14" s="6" t="str">
        <x:v>Official BOAMP records: source 15-102348 (INITIAL/APPEL_OFFRE, 2015-07-03); candidate 16-48016 (INITIAL/APPEL_OFFRE, 2016-03-31); gap 8.9356 months.</x:v>
      </x:c>
      <x:c r="G14" s="6" t="str">
        <x:v>https://www.boamp.fr/pages/avis/?q=idweb:15-102348
https://www.boamp.fr/pages/avis/?q=idweb:16-48016</x:v>
      </x:c>
      <x:c r="H14" s="6" t="str">
        <x:v>No explicit direct BOAMP notice link was available.</x:v>
      </x:c>
      <x:c r="I14" s="6" t="str"/>
      <x:c r="J14" s="6" t="str"/>
      <x:c r="K14" s="6" t="str"/>
      <x:c r="L14" s="6" t="str">
        <x:v>Internship guide linkage definition; official BOAMP record fields; same-buyer later-notice search; secondary public procurement source where noted.</x:v>
      </x:c>
      <x:c r="M14" s="6" t="str"/>
      <x:c r="N14" s="6" t="str"/>
      <x:c r="O14" s="6" t="str"/>
      <x:c r="P14" s="6" t="str"/>
      <x:c r="Q14" s="6" t="str"/>
      <x:c r="R14" s="6" t="str"/>
    </x:row>
    <x:row r="15" ht="72" customHeight="1">
      <x:c r="A15" s="6" t="str">
        <x:v>AUDIT-014</x:v>
      </x:c>
      <x:c r="B15" s="6" t="str">
        <x:v>25-109666 -&gt; 25-125088</x:v>
      </x:c>
      <x:c r="C15" s="6" t="str">
        <x:v>WRONG_LINK</x:v>
      </x:c>
      <x:c r="D15" s="6" t="str">
        <x:v>HIGH</x:v>
      </x:c>
      <x:c r="E15" s="6" t="str">
        <x:v>The two eForms notices share the same ContractFolderID and procurement ID; the candidate is version 02 of the source procedure. It is not a distinct successor contract.</x:v>
      </x:c>
      <x:c r="F15" s="6" t="str">
        <x:v>Official BOAMP records: source 25-109666 (INITIAL/APPEL_OFFRE, 2025-10-04); candidate 25-125088 (INITIAL/APPEL_OFFRE, 2025-11-12); gap 1.2812 months.</x:v>
      </x:c>
      <x:c r="G15" s="6" t="str">
        <x:v>https://www.boamp.fr/pages/avis/?q=idweb:25-109666
https://www.boamp.fr/pages/avis/?q=idweb:25-125088</x:v>
      </x:c>
      <x:c r="H15" s="6" t="str">
        <x:v>Buyer agreement, CPV proximity or generic wording may have increased the algorithm score, but these signals are not specific enough.</x:v>
      </x:c>
      <x:c r="I15" s="6" t="str"/>
      <x:c r="J15" s="6" t="str"/>
      <x:c r="K15" s="6" t="str"/>
      <x:c r="L15" s="6" t="str">
        <x:v>Internship guide linkage definition; official BOAMP record fields; same-buyer later-notice search; secondary public procurement source where noted.</x:v>
      </x:c>
      <x:c r="M15" s="6" t="str"/>
      <x:c r="N15" s="6" t="str"/>
      <x:c r="O15" s="6" t="str"/>
      <x:c r="P15" s="6" t="str"/>
      <x:c r="Q15" s="6" t="str"/>
      <x:c r="R15" s="6" t="str"/>
    </x:row>
    <x:row r="16" ht="72" customHeight="1">
      <x:c r="A16" s="6" t="str">
        <x:v>AUDIT-015</x:v>
      </x:c>
      <x:c r="B16" s="6" t="str">
        <x:v>22-52158 -&gt; 22-61807</x:v>
      </x:c>
      <x:c r="C16" s="6" t="str">
        <x:v>WRONG_LINK</x:v>
      </x:c>
      <x:c r="D16" s="6" t="str">
        <x:v>HIGH</x:v>
      </x:c>
      <x:c r="E16" s="6" t="str">
        <x:v>The source is 'Abonnement à un logiciel de gestion d'une flotte vélos' while the candidate is 'Acquisition, mise en oeuvre, maintenance et évolution d'un logiciel de recrutement en mode Saas et prestations associées'. The concrete functions/equipment are materially different; same buyer and broad digital/CPV similarity do not establish a renewal or relaunch.</x:v>
      </x:c>
      <x:c r="F16" s="6" t="str">
        <x:v>Official BOAMP records: source 22-52158 (INITIAL/APPEL_OFFRE, 2022-04-11); candidate 22-61807 (INITIAL/APPEL_OFFRE, 2022-04-29); gap 0.5913 months.</x:v>
      </x:c>
      <x:c r="G16" s="6" t="str">
        <x:v>https://www.boamp.fr/pages/avis/?q=idweb:22-52158
https://www.boamp.fr/pages/avis/?q=idweb:22-61807</x:v>
      </x:c>
      <x:c r="H16" s="6" t="str">
        <x:v>Buyer agreement, CPV proximity or generic wording may have increased the algorithm score, but these signals are not specific enough.</x:v>
      </x:c>
      <x:c r="I16" s="6" t="str"/>
      <x:c r="J16" s="6" t="str"/>
      <x:c r="K16" s="6" t="str"/>
      <x:c r="L16" s="6" t="str">
        <x:v>Internship guide linkage definition; official BOAMP record fields; same-buyer later-notice search; secondary public procurement source where noted.</x:v>
      </x:c>
      <x:c r="M16" s="6" t="str"/>
      <x:c r="N16" s="6" t="str"/>
      <x:c r="O16" s="6" t="str"/>
      <x:c r="P16" s="6" t="str"/>
      <x:c r="Q16" s="6" t="str"/>
      <x:c r="R16" s="6" t="str"/>
    </x:row>
    <x:row r="17" ht="72" customHeight="1">
      <x:c r="A17" s="6" t="str">
        <x:v>AUDIT-016</x:v>
      </x:c>
      <x:c r="B17" s="6" t="str">
        <x:v>17-39457 -&gt; 17-136551</x:v>
      </x:c>
      <x:c r="C17" s="6" t="str">
        <x:v>WRONG_LINK</x:v>
      </x:c>
      <x:c r="D17" s="6" t="str">
        <x:v>MEDIUM</x:v>
      </x:c>
      <x:c r="E17" s="6" t="str">
        <x:v>External TED-derived records show different scopes: 16-DIR-UDI-10 is IT project-management support for the SAGT Unifié project, while 16-DIR-UDI-05 is a separate 48-month IT/network service for traffic operations. Related domain, but not the same procurement need.</x:v>
      </x:c>
      <x:c r="F17" s="6" t="str">
        <x:v>Official BOAMP records: source 17-39457 (INITIAL/APPEL_OFFRE, 2017-03-23); candidate 17-136551 (INITIAL/APPEL_OFFRE, 2017-09-30); gap 6.2746 months.</x:v>
      </x:c>
      <x:c r="G17" s="6" t="str">
        <x:v>https://www.boamp.fr/pages/avis/?q=idweb:17-39457
https://www.boamp.fr/pages/avis/?q=idweb:17-136551
https://fr.openprocurements.com/tender/2017-16-dir-udi-10/
https://fr.openprocurements.com/tender/2017-16-dir-udi-05/</x:v>
      </x:c>
      <x:c r="H17" s="6" t="str">
        <x:v>Buyer agreement, CPV proximity or generic wording may have increased the algorithm score, but these signals are not specific enough.</x:v>
      </x:c>
      <x:c r="I17" s="6" t="str"/>
      <x:c r="J17" s="6" t="str"/>
      <x:c r="K17" s="6" t="str"/>
      <x:c r="L17" s="6" t="str">
        <x:v>Internship guide linkage definition; official BOAMP record fields; same-buyer later-notice search; secondary public procurement source where noted.</x:v>
      </x:c>
      <x:c r="M17" s="6" t="str"/>
      <x:c r="N17" s="6" t="str"/>
      <x:c r="O17" s="6" t="str"/>
      <x:c r="P17" s="6" t="str"/>
      <x:c r="Q17" s="6" t="str"/>
      <x:c r="R17" s="6" t="str"/>
    </x:row>
    <x:row r="18" ht="72" customHeight="1">
      <x:c r="A18" s="6" t="str">
        <x:v>AUDIT-017</x:v>
      </x:c>
      <x:c r="B18" s="6" t="str">
        <x:v>20-118247 -&gt; 21-76512</x:v>
      </x:c>
      <x:c r="C18" s="6" t="str">
        <x:v>WRONG_LINK</x:v>
      </x:c>
      <x:c r="D18" s="6" t="str">
        <x:v>HIGH</x:v>
      </x:c>
      <x:c r="E18" s="6" t="str">
        <x:v>The source is 'Maintenance et prestations associées pour les logiciels de sécurité périmétriques et postes clients de la Ville de Saint-Herblain' while the candidate is 'Installation et maintenance des dispositifs de télésurveillance des équipements municipaux de la Ville de Saint-Herblain'. The concrete functions/equipment are materially different; same buyer and broad digital/CPV similarity do not establish a renewal or relaunch.</x:v>
      </x:c>
      <x:c r="F18" s="6" t="str">
        <x:v>Official BOAMP records: source 20-118247 (INITIAL/APPEL_OFFRE, 2020-09-30); candidate 21-76512 (INITIAL/APPEL_OFFRE, 2021-06-09); gap 8.2785 months.</x:v>
      </x:c>
      <x:c r="G18" s="6" t="str">
        <x:v>https://www.boamp.fr/pages/avis/?q=idweb:20-118247
https://www.boamp.fr/pages/avis/?q=idweb:21-76512</x:v>
      </x:c>
      <x:c r="H18" s="6" t="str">
        <x:v>Buyer agreement, CPV proximity or generic wording may have increased the algorithm score, but these signals are not specific enough.</x:v>
      </x:c>
      <x:c r="I18" s="6" t="str"/>
      <x:c r="J18" s="6" t="str"/>
      <x:c r="K18" s="6" t="str"/>
      <x:c r="L18" s="6" t="str">
        <x:v>Internship guide linkage definition; official BOAMP record fields; same-buyer later-notice search; secondary public procurement source where noted.</x:v>
      </x:c>
      <x:c r="M18" s="6" t="str"/>
      <x:c r="N18" s="6" t="str"/>
      <x:c r="O18" s="6" t="str"/>
      <x:c r="P18" s="6" t="str"/>
      <x:c r="Q18" s="6" t="str"/>
      <x:c r="R18" s="6" t="str"/>
    </x:row>
    <x:row r="19" ht="72" customHeight="1">
      <x:c r="A19" s="6" t="str">
        <x:v>AUDIT-018</x:v>
      </x:c>
      <x:c r="B19" s="6" t="str">
        <x:v>21-125688 -&gt; 22-93332</x:v>
      </x:c>
      <x:c r="C19" s="6" t="str">
        <x:v>WRONG_LINK</x:v>
      </x:c>
      <x:c r="D19" s="6" t="str">
        <x:v>MEDIUM</x:v>
      </x:c>
      <x:c r="E19" s="6" t="str">
        <x:v>The source is 'Conception, maintenance, mise en ligne, hébergement et référencement de sites internet' while the candidate is 'Mise à disposition d'une solution en ligne de gestion d'un système d'information touristique'. The concrete functions/equipment are materially different; same buyer and broad digital/CPV similarity do not establish a renewal or relaunch.</x:v>
      </x:c>
      <x:c r="F19" s="6" t="str">
        <x:v>Official BOAMP records: source 21-125688 (INITIAL/APPEL_OFFRE, 2021-09-22); candidate 22-93332 (INITIAL/APPEL_OFFRE, 2022-07-06); gap 9.4283 months.</x:v>
      </x:c>
      <x:c r="G19" s="6" t="str">
        <x:v>https://www.boamp.fr/pages/avis/?q=idweb:21-125688
https://www.boamp.fr/pages/avis/?q=idweb:22-93332</x:v>
      </x:c>
      <x:c r="H19" s="6" t="str">
        <x:v>Buyer agreement, CPV proximity or generic wording may have increased the algorithm score, but these signals are not specific enough.</x:v>
      </x:c>
      <x:c r="I19" s="6" t="str"/>
      <x:c r="J19" s="6" t="str"/>
      <x:c r="K19" s="6" t="str"/>
      <x:c r="L19" s="6" t="str">
        <x:v>Internship guide linkage definition; official BOAMP record fields; same-buyer later-notice search; secondary public procurement source where noted.</x:v>
      </x:c>
      <x:c r="M19" s="6" t="str"/>
      <x:c r="N19" s="6" t="str"/>
      <x:c r="O19" s="6" t="str"/>
      <x:c r="P19" s="6" t="str"/>
      <x:c r="Q19" s="6" t="str"/>
      <x:c r="R19" s="6" t="str"/>
    </x:row>
    <x:row r="20" ht="72" customHeight="1">
      <x:c r="A20" s="6" t="str">
        <x:v>AUDIT-019</x:v>
      </x:c>
      <x:c r="B20" s="6" t="str">
        <x:v>17-32165 -&gt; 18-13243</x:v>
      </x:c>
      <x:c r="C20" s="6" t="str">
        <x:v>WRONG_LINK</x:v>
      </x:c>
      <x:c r="D20" s="6" t="str">
        <x:v>HIGH</x:v>
      </x:c>
      <x:c r="E20" s="6" t="str">
        <x:v>The source is 'Tour à commande numérique 4 axes' while the candidate is 'Maintenance du logiciel ZIMBRA'. The concrete functions/equipment are materially different; same buyer and broad digital/CPV similarity do not establish a renewal or relaunch.</x:v>
      </x:c>
      <x:c r="F20" s="6" t="str">
        <x:v>Official BOAMP records: source 17-32165 (INITIAL/APPEL_OFFRE, 2017-03-07); candidate 18-13243 (INITIAL/APPEL_OFFRE, 2018-01-29); gap 10.775 months.</x:v>
      </x:c>
      <x:c r="G20" s="6" t="str">
        <x:v>https://www.boamp.fr/pages/avis/?q=idweb:17-32165
https://www.boamp.fr/pages/avis/?q=idweb:18-13243</x:v>
      </x:c>
      <x:c r="H20" s="6" t="str">
        <x:v>Buyer agreement, CPV proximity or generic wording may have increased the algorithm score, but these signals are not specific enough.</x:v>
      </x:c>
      <x:c r="I20" s="6" t="str"/>
      <x:c r="J20" s="6" t="str"/>
      <x:c r="K20" s="6" t="str"/>
      <x:c r="L20" s="6" t="str">
        <x:v>Internship guide linkage definition; official BOAMP record fields; same-buyer later-notice search; secondary public procurement source where noted.</x:v>
      </x:c>
      <x:c r="M20" s="6" t="str"/>
      <x:c r="N20" s="6" t="str"/>
      <x:c r="O20" s="6" t="str"/>
      <x:c r="P20" s="6" t="str"/>
      <x:c r="Q20" s="6" t="str"/>
      <x:c r="R20" s="6" t="str"/>
    </x:row>
    <x:row r="21" ht="72" customHeight="1">
      <x:c r="A21" s="6" t="str">
        <x:v>AUDIT-020</x:v>
      </x:c>
      <x:c r="B21" s="6" t="str">
        <x:v>20-130827 -&gt; 21-51441</x:v>
      </x:c>
      <x:c r="C21" s="6" t="str">
        <x:v>WRONG_LINK</x:v>
      </x:c>
      <x:c r="D21" s="6" t="str">
        <x:v>MEDIUM</x:v>
      </x:c>
      <x:c r="E21" s="6" t="str">
        <x:v>The source is 'Evolution de l'infrastructure informatique et de la téléphonie' while the candidate is 'PRESTATION DE GESTION DU SYSTEME D'INFORMATION et TIERCE MAINTENANCE APPLICATIVE DU SYSTEME D'INFORMATION DES SOCIETES DU GROUPE CIF'. The concrete functions/equipment are materially different; same buyer and broad digital/CPV similarity do not establish a renewal or relaunch.</x:v>
      </x:c>
      <x:c r="F21" s="6" t="str">
        <x:v>Official BOAMP records: source 20-130827 (INITIAL/APPEL_OFFRE, 2020-10-25); candidate 21-51441 (INITIAL/APPEL_OFFRE, 2021-04-18); gap 5.7490 months.</x:v>
      </x:c>
      <x:c r="G21" s="6" t="str">
        <x:v>https://www.boamp.fr/pages/avis/?q=idweb:20-130827
https://www.boamp.fr/pages/avis/?q=idweb:21-51441</x:v>
      </x:c>
      <x:c r="H21" s="6" t="str">
        <x:v>Buyer agreement, CPV proximity or generic wording may have increased the algorithm score, but these signals are not specific enough.</x:v>
      </x:c>
      <x:c r="I21" s="6" t="str"/>
      <x:c r="J21" s="6" t="str"/>
      <x:c r="K21" s="6" t="str"/>
      <x:c r="L21" s="6" t="str">
        <x:v>Internship guide linkage definition; official BOAMP record fields; same-buyer later-notice search; secondary public procurement source where noted.</x:v>
      </x:c>
      <x:c r="M21" s="6" t="str"/>
      <x:c r="N21" s="6" t="str"/>
      <x:c r="O21" s="6" t="str"/>
      <x:c r="P21" s="6" t="str"/>
      <x:c r="Q21" s="6" t="str"/>
      <x:c r="R21" s="6" t="str"/>
    </x:row>
    <x:row r="22" ht="72" customHeight="1">
      <x:c r="A22" s="6" t="str">
        <x:v>AUDIT-021</x:v>
      </x:c>
      <x:c r="B22" s="6" t="str">
        <x:v>16-110202 -&gt; 17-129931</x:v>
      </x:c>
      <x:c r="C22" s="6" t="str">
        <x:v>INSUFFICIENT_INFORMATION</x:v>
      </x:c>
      <x:c r="D22" s="6" t="str">
        <x:v>LOW</x:v>
      </x:c>
      <x:c r="E22" s="6" t="str">
        <x:v>The source covers specific CFE, trades-register, apprenticeship and CRM applications, while the later notice broadly covers business software. The later scope may contain the earlier applications, but BOAMP provides no common lot/reference or explicit relaunch link, so a true successor cannot be established.</x:v>
      </x:c>
      <x:c r="F22" s="6" t="str">
        <x:v>Official BOAMP records: source 16-110202 (INITIAL/APPEL_OFFRE, 2016-07-25); candidate 17-129931 (INITIAL/APPEL_OFFRE, 2017-09-17); gap 13.764 months.</x:v>
      </x:c>
      <x:c r="G22" s="6" t="str">
        <x:v>https://www.boamp.fr/pages/avis/?q=idweb:16-110202
https://www.boamp.fr/pages/avis/?q=idweb:17-129931</x:v>
      </x:c>
      <x:c r="H22" s="6" t="str">
        <x:v>The public record does not resolve whether the later/absent notice represents the same procurement need.</x:v>
      </x:c>
      <x:c r="I22" s="6" t="str"/>
      <x:c r="J22" s="6" t="str"/>
      <x:c r="K22" s="6" t="str"/>
      <x:c r="L22" s="6" t="str">
        <x:v>Internship guide linkage definition; official BOAMP record fields; same-buyer later-notice search; secondary public procurement source where noted.</x:v>
      </x:c>
      <x:c r="M22" s="6" t="str"/>
      <x:c r="N22" s="6" t="str"/>
      <x:c r="O22" s="6" t="str"/>
      <x:c r="P22" s="6" t="str"/>
      <x:c r="Q22" s="6" t="str"/>
      <x:c r="R22" s="6" t="str"/>
    </x:row>
    <x:row r="23" ht="72" customHeight="1">
      <x:c r="A23" s="6" t="str">
        <x:v>AUDIT-022</x:v>
      </x:c>
      <x:c r="B23" s="6" t="str">
        <x:v>23-217 -&gt; 23-159358</x:v>
      </x:c>
      <x:c r="C23" s="6" t="str">
        <x:v>WRONG_LINK</x:v>
      </x:c>
      <x:c r="D23" s="6" t="str">
        <x:v>HIGH</x:v>
      </x:c>
      <x:c r="E23" s="6" t="str">
        <x:v>The source is 'Réalisation du site internet de la Ville d'Orvault.' while the candidate is 'Acquisition et maintenance d'une presse numérique, de photocopieurs multifonctions et des logiciels et prestations associés.'. The concrete functions/equipment are materially different; same buyer and broad digital/CPV similarity do not establish a renewal or relaunch.</x:v>
      </x:c>
      <x:c r="F23" s="6" t="str">
        <x:v>Official BOAMP records: source 23-217 (INITIAL/APPEL_OFFRE, 2023-01-02); candidate 23-159358 (INITIAL/APPEL_OFFRE, 2023-11-16); gap 10.446 months.</x:v>
      </x:c>
      <x:c r="G23" s="6" t="str">
        <x:v>https://www.boamp.fr/pages/avis/?q=idweb:23-217
https://www.boamp.fr/pages/avis/?q=idweb:23-159358</x:v>
      </x:c>
      <x:c r="H23" s="6" t="str">
        <x:v>Buyer agreement, CPV proximity or generic wording may have increased the algorithm score, but these signals are not specific enough.</x:v>
      </x:c>
      <x:c r="I23" s="6" t="str"/>
      <x:c r="J23" s="6" t="str"/>
      <x:c r="K23" s="6" t="str"/>
      <x:c r="L23" s="6" t="str">
        <x:v>Internship guide linkage definition; official BOAMP record fields; same-buyer later-notice search; secondary public procurement source where noted.</x:v>
      </x:c>
      <x:c r="M23" s="6" t="str"/>
      <x:c r="N23" s="6" t="str"/>
      <x:c r="O23" s="6" t="str"/>
      <x:c r="P23" s="6" t="str"/>
      <x:c r="Q23" s="6" t="str"/>
      <x:c r="R23" s="6" t="str"/>
    </x:row>
    <x:row r="24" ht="72" customHeight="1">
      <x:c r="A24" s="6" t="str">
        <x:v>AUDIT-023</x:v>
      </x:c>
      <x:c r="B24" s="6" t="str">
        <x:v>21-157863 -&gt; 22-95583</x:v>
      </x:c>
      <x:c r="C24" s="6" t="str">
        <x:v>WRONG_LINK</x:v>
      </x:c>
      <x:c r="D24" s="6" t="str">
        <x:v>HIGH</x:v>
      </x:c>
      <x:c r="E24" s="6" t="str">
        <x:v>The source is 'Acquisition, maintenance et prestations associées pour l'infrastructure réseau, TOIP et Visio de la Ville de Saint-Herblain' while the candidate is 'Audit sur le SI Famille (portail famille et logiciels métiers associés) de la Ville de Saint-Herblain'. The concrete functions/equipment are materially different; same buyer and broad digital/CPV similarity do not establish a renewal or relaunch.</x:v>
      </x:c>
      <x:c r="F24" s="6" t="str">
        <x:v>Official BOAMP records: source 21-157863 (INITIAL/APPEL_OFFRE, 2021-12-02); candidate 22-95583 (INITIAL/APPEL_OFFRE, 2022-07-07); gap 7.1287 months.</x:v>
      </x:c>
      <x:c r="G24" s="6" t="str">
        <x:v>https://www.boamp.fr/pages/avis/?q=idweb:21-157863
https://www.boamp.fr/pages/avis/?q=idweb:22-95583</x:v>
      </x:c>
      <x:c r="H24" s="6" t="str">
        <x:v>Buyer agreement, CPV proximity or generic wording may have increased the algorithm score, but these signals are not specific enough.</x:v>
      </x:c>
      <x:c r="I24" s="6" t="str"/>
      <x:c r="J24" s="6" t="str"/>
      <x:c r="K24" s="6" t="str"/>
      <x:c r="L24" s="6" t="str">
        <x:v>Internship guide linkage definition; official BOAMP record fields; same-buyer later-notice search; secondary public procurement source where noted.</x:v>
      </x:c>
      <x:c r="M24" s="6" t="str"/>
      <x:c r="N24" s="6" t="str"/>
      <x:c r="O24" s="6" t="str"/>
      <x:c r="P24" s="6" t="str"/>
      <x:c r="Q24" s="6" t="str"/>
      <x:c r="R24" s="6" t="str"/>
    </x:row>
    <x:row r="25" ht="72" customHeight="1">
      <x:c r="A25" s="6" t="str">
        <x:v>AUDIT-024</x:v>
      </x:c>
      <x:c r="B25" s="6" t="str">
        <x:v>20-19624 -&gt; 20-118393</x:v>
      </x:c>
      <x:c r="C25" s="6" t="str">
        <x:v>WRONG_LINK</x:v>
      </x:c>
      <x:c r="D25" s="6" t="str">
        <x:v>HIGH</x:v>
      </x:c>
      <x:c r="E25" s="6" t="str">
        <x:v>The source is 'SERVICE INFORMATIQUE DU SDIS72MAINTENANCE DE LA PLATE FORME ANTIVIRALE NAI (RENOUVELLEMENT),PRESTATIONS PONCTUELLES ET ACQUISITIONS DE…' while the candidate is 'SERVICE INFORMATIQUE DU SDIS72RENOUVELLEMENT DES INFRASTRUCTURES DE STOCKAGE DU STORE VIRTUELREMPLACEMENT DU MATERIEL - MISE EN SERVIC…'. The concrete functions/equipment are materially different; same buyer and broad digital/CPV similarity do not establish a renewal or relaunch.</x:v>
      </x:c>
      <x:c r="F25" s="6" t="str">
        <x:v>Official BOAMP records: source 20-19624 (INITIAL/APPEL_OFFRE, 2020-02-07); candidate 20-118393 (INITIAL/APPEL_OFFRE, 2020-09-28); gap 7.6872 months.</x:v>
      </x:c>
      <x:c r="G25" s="6" t="str">
        <x:v>https://www.boamp.fr/pages/avis/?q=idweb:20-19624
https://www.boamp.fr/pages/avis/?q=idweb:20-118393</x:v>
      </x:c>
      <x:c r="H25" s="6" t="str">
        <x:v>Buyer agreement, CPV proximity or generic wording may have increased the algorithm score, but these signals are not specific enough.</x:v>
      </x:c>
      <x:c r="I25" s="6" t="str"/>
      <x:c r="J25" s="6" t="str"/>
      <x:c r="K25" s="6" t="str"/>
      <x:c r="L25" s="6" t="str">
        <x:v>Internship guide linkage definition; official BOAMP record fields; same-buyer later-notice search; secondary public procurement source where noted.</x:v>
      </x:c>
      <x:c r="M25" s="6" t="str"/>
      <x:c r="N25" s="6" t="str"/>
      <x:c r="O25" s="6" t="str"/>
      <x:c r="P25" s="6" t="str"/>
      <x:c r="Q25" s="6" t="str"/>
      <x:c r="R25" s="6" t="str"/>
    </x:row>
    <x:row r="26" ht="72" customHeight="1">
      <x:c r="A26" s="6" t="str">
        <x:v>AUDIT-025</x:v>
      </x:c>
      <x:c r="B26" s="6" t="str">
        <x:v>18-86637 -&gt; 19-87996</x:v>
      </x:c>
      <x:c r="C26" s="6" t="str">
        <x:v>WRONG_LINK</x:v>
      </x:c>
      <x:c r="D26" s="6" t="str">
        <x:v>HIGH</x:v>
      </x:c>
      <x:c r="E26" s="6" t="str">
        <x:v>The source is 'création du site internet de mauges communauté' while the candidate is 'Fourniture de matériels informatiques'. The concrete functions/equipment are materially different; same buyer and broad digital/CPV similarity do not establish a renewal or relaunch.</x:v>
      </x:c>
      <x:c r="F26" s="6" t="str">
        <x:v>Official BOAMP records: source 18-86637 (INITIAL/APPEL_OFFRE, 2018-06-22); candidate 19-87996 (INITIAL/APPEL_OFFRE, 2019-06-06); gap 11.465 months.</x:v>
      </x:c>
      <x:c r="G26" s="6" t="str">
        <x:v>https://www.boamp.fr/pages/avis/?q=idweb:18-86637
https://www.boamp.fr/pages/avis/?q=idweb:19-87996</x:v>
      </x:c>
      <x:c r="H26" s="6" t="str">
        <x:v>Buyer agreement, CPV proximity or generic wording may have increased the algorithm score, but these signals are not specific enough.</x:v>
      </x:c>
      <x:c r="I26" s="6" t="str"/>
      <x:c r="J26" s="6" t="str"/>
      <x:c r="K26" s="6" t="str"/>
      <x:c r="L26" s="6" t="str">
        <x:v>Internship guide linkage definition; official BOAMP record fields; same-buyer later-notice search; secondary public procurement source where noted.</x:v>
      </x:c>
      <x:c r="M26" s="6" t="str"/>
      <x:c r="N26" s="6" t="str"/>
      <x:c r="O26" s="6" t="str"/>
      <x:c r="P26" s="6" t="str"/>
      <x:c r="Q26" s="6" t="str"/>
      <x:c r="R26" s="6" t="str"/>
    </x:row>
    <x:row r="27" ht="72" customHeight="1">
      <x:c r="A27" s="6" t="str">
        <x:v>AUDIT-026</x:v>
      </x:c>
      <x:c r="B27" s="6" t="str">
        <x:v>15-145608 -&gt; 16-73008</x:v>
      </x:c>
      <x:c r="C27" s="6" t="str">
        <x:v>WRONG_LINK</x:v>
      </x:c>
      <x:c r="D27" s="6" t="str">
        <x:v>HIGH</x:v>
      </x:c>
      <x:c r="E27" s="6" t="str">
        <x:v>The source is 'fourniture d'équipements réseau et de sécurité, et maintenance associée à Nantes' while the candidate is 'Marché de mise en oeuvre d'un parcours numérique MOOC sur les fondamentaux de la culture numérique'. The concrete functions/equipment are materially different; same buyer and broad digital/CPV similarity do not establish a renewal or relaunch.</x:v>
      </x:c>
      <x:c r="F27" s="6" t="str">
        <x:v>Official BOAMP records: source 15-145608 (INITIAL/APPEL_OFFRE, 2015-09-24); candidate 16-73008 (INITIAL/APPEL_OFFRE, 2016-05-20); gap 7.8515 months.</x:v>
      </x:c>
      <x:c r="G27" s="6" t="str">
        <x:v>https://www.boamp.fr/pages/avis/?q=idweb:15-145608
https://www.boamp.fr/pages/avis/?q=idweb:16-73008</x:v>
      </x:c>
      <x:c r="H27" s="6" t="str">
        <x:v>Buyer agreement, CPV proximity or generic wording may have increased the algorithm score, but these signals are not specific enough.</x:v>
      </x:c>
      <x:c r="I27" s="6" t="str"/>
      <x:c r="J27" s="6" t="str"/>
      <x:c r="K27" s="6" t="str"/>
      <x:c r="L27" s="6" t="str">
        <x:v>Internship guide linkage definition; official BOAMP record fields; same-buyer later-notice search; secondary public procurement source where noted.</x:v>
      </x:c>
      <x:c r="M27" s="6" t="str"/>
      <x:c r="N27" s="6" t="str"/>
      <x:c r="O27" s="6" t="str"/>
      <x:c r="P27" s="6" t="str"/>
      <x:c r="Q27" s="6" t="str"/>
      <x:c r="R27" s="6" t="str"/>
    </x:row>
    <x:row r="28" ht="72" customHeight="1">
      <x:c r="A28" s="6" t="str">
        <x:v>AUDIT-027</x:v>
      </x:c>
      <x:c r="B28" s="6" t="str">
        <x:v>20-23104 -&gt; 21-11209</x:v>
      </x:c>
      <x:c r="C28" s="6" t="str">
        <x:v>WRONG_LINK</x:v>
      </x:c>
      <x:c r="D28" s="6" t="str">
        <x:v>MEDIUM</x:v>
      </x:c>
      <x:c r="E28" s="6" t="str">
        <x:v>The source is '20-008 Prestations de conception et développement numériques' while the candidate is 'Réalisation, aménagement fonctionnel aux besoins et mise à disposition de la plateforme événementielle In-FINE, configuration et intég…'. The concrete functions/equipment are materially different; same buyer and broad digital/CPV similarity do not establish a renewal or relaunch.</x:v>
      </x:c>
      <x:c r="F28" s="6" t="str">
        <x:v>Official BOAMP records: source 20-23104 (INITIAL/APPEL_OFFRE, 2020-02-15); candidate 21-11209 (INITIAL/APPEL_OFFRE, 2021-01-25); gap 11.333 months.</x:v>
      </x:c>
      <x:c r="G28" s="6" t="str">
        <x:v>https://www.boamp.fr/pages/avis/?q=idweb:20-23104
https://www.boamp.fr/pages/avis/?q=idweb:21-11209</x:v>
      </x:c>
      <x:c r="H28" s="6" t="str">
        <x:v>Buyer agreement, CPV proximity or generic wording may have increased the algorithm score, but these signals are not specific enough.</x:v>
      </x:c>
      <x:c r="I28" s="6" t="str"/>
      <x:c r="J28" s="6" t="str"/>
      <x:c r="K28" s="6" t="str"/>
      <x:c r="L28" s="6" t="str">
        <x:v>Internship guide linkage definition; official BOAMP record fields; same-buyer later-notice search; secondary public procurement source where noted.</x:v>
      </x:c>
      <x:c r="M28" s="6" t="str"/>
      <x:c r="N28" s="6" t="str"/>
      <x:c r="O28" s="6" t="str"/>
      <x:c r="P28" s="6" t="str"/>
      <x:c r="Q28" s="6" t="str"/>
      <x:c r="R28" s="6" t="str"/>
    </x:row>
    <x:row r="29" ht="72" customHeight="1">
      <x:c r="A29" s="6" t="str">
        <x:v>AUDIT-028</x:v>
      </x:c>
      <x:c r="B29" s="6" t="str">
        <x:v>17-16255 -&gt; 18-8280</x:v>
      </x:c>
      <x:c r="C29" s="6" t="str">
        <x:v>WRONG_LINK</x:v>
      </x:c>
      <x:c r="D29" s="6" t="str">
        <x:v>HIGH</x:v>
      </x:c>
      <x:c r="E29" s="6" t="str">
        <x:v>The source is 'convention de mandat de maîtrise d'ouvrage pour la construction d'une extension du pôle numérique' while the candidate is 'Renouvellement des solutions de stockage informatique'. The concrete functions/equipment are materially different; same buyer and broad digital/CPV similarity do not establish a renewal or relaunch.</x:v>
      </x:c>
      <x:c r="F29" s="6" t="str">
        <x:v>Official BOAMP records: source 17-16255 (INITIAL/APPEL_OFFRE, 2017-02-06); candidate 18-8280 (INITIAL/APPEL_OFFRE, 2018-01-20); gap 11.432 months.</x:v>
      </x:c>
      <x:c r="G29" s="6" t="str">
        <x:v>https://www.boamp.fr/pages/avis/?q=idweb:17-16255
https://www.boamp.fr/pages/avis/?q=idweb:18-8280</x:v>
      </x:c>
      <x:c r="H29" s="6" t="str">
        <x:v>Buyer agreement, CPV proximity or generic wording may have increased the algorithm score, but these signals are not specific enough.</x:v>
      </x:c>
      <x:c r="I29" s="6" t="str"/>
      <x:c r="J29" s="6" t="str"/>
      <x:c r="K29" s="6" t="str"/>
      <x:c r="L29" s="6" t="str">
        <x:v>Internship guide linkage definition; official BOAMP record fields; same-buyer later-notice search; secondary public procurement source where noted.</x:v>
      </x:c>
      <x:c r="M29" s="6" t="str"/>
      <x:c r="N29" s="6" t="str"/>
      <x:c r="O29" s="6" t="str"/>
      <x:c r="P29" s="6" t="str"/>
      <x:c r="Q29" s="6" t="str"/>
      <x:c r="R29" s="6" t="str"/>
    </x:row>
    <x:row r="30" ht="72" customHeight="1">
      <x:c r="A30" s="6" t="str">
        <x:v>AUDIT-029</x:v>
      </x:c>
      <x:c r="B30" s="6" t="str">
        <x:v>16-176618 -&gt; 17-54861</x:v>
      </x:c>
      <x:c r="C30" s="6" t="str">
        <x:v>WRONG_LINK</x:v>
      </x:c>
      <x:c r="D30" s="6" t="str">
        <x:v>HIGH</x:v>
      </x:c>
      <x:c r="E30" s="6" t="str">
        <x:v>The source is 'Fourniture, mise en oeuvre et maintenance d'une solution de planification et de gestion du temps de travail' while the candidate is 'Fourniture de licences microsoft'. The concrete functions/equipment are materially different; same buyer and broad digital/CPV similarity do not establish a renewal or relaunch.</x:v>
      </x:c>
      <x:c r="F30" s="6" t="str">
        <x:v>Official BOAMP records: source 16-176618 (INITIAL/APPEL_OFFRE, 2016-12-09); candidate 17-54861 (INITIAL/APPEL_OFFRE, 2017-04-21); gap 4.3692 months.</x:v>
      </x:c>
      <x:c r="G30" s="6" t="str">
        <x:v>https://www.boamp.fr/pages/avis/?q=idweb:16-176618
https://www.boamp.fr/pages/avis/?q=idweb:17-54861</x:v>
      </x:c>
      <x:c r="H30" s="6" t="str">
        <x:v>Buyer agreement, CPV proximity or generic wording may have increased the algorithm score, but these signals are not specific enough.</x:v>
      </x:c>
      <x:c r="I30" s="6" t="str"/>
      <x:c r="J30" s="6" t="str"/>
      <x:c r="K30" s="6" t="str"/>
      <x:c r="L30" s="6" t="str">
        <x:v>Internship guide linkage definition; official BOAMP record fields; same-buyer later-notice search; secondary public procurement source where noted.</x:v>
      </x:c>
      <x:c r="M30" s="6" t="str"/>
      <x:c r="N30" s="6" t="str"/>
      <x:c r="O30" s="6" t="str"/>
      <x:c r="P30" s="6" t="str"/>
      <x:c r="Q30" s="6" t="str"/>
      <x:c r="R30" s="6" t="str"/>
    </x:row>
    <x:row r="31" ht="72" customHeight="1">
      <x:c r="A31" s="6" t="str">
        <x:v>AUDIT-030</x:v>
      </x:c>
      <x:c r="B31" s="6" t="str">
        <x:v>22-41834 -&gt; 23-31575</x:v>
      </x:c>
      <x:c r="C31" s="6" t="str">
        <x:v>WRONG_LINK</x:v>
      </x:c>
      <x:c r="D31" s="6" t="str">
        <x:v>HIGH</x:v>
      </x:c>
      <x:c r="E31" s="6" t="str">
        <x:v>The source is 'mise à disposition d'une solution numérique en ligne pour l'organisation d'évènements' while the candidate is 'rétro-conversion de fiches papier de livres imprimés du service patrimoine'. The concrete functions/equipment are materially different; same buyer and broad digital/CPV similarity do not establish a renewal or relaunch.</x:v>
      </x:c>
      <x:c r="F31" s="6" t="str">
        <x:v>Official BOAMP records: source 22-41834 (INITIAL/APPEL_OFFRE, 2022-03-22); candidate 23-31575 (INITIAL/APPEL_OFFRE, 2023-03-10); gap 11.596 months.</x:v>
      </x:c>
      <x:c r="G31" s="6" t="str">
        <x:v>https://www.boamp.fr/pages/avis/?q=idweb:22-41834
https://www.boamp.fr/pages/avis/?q=idweb:23-31575</x:v>
      </x:c>
      <x:c r="H31" s="6" t="str">
        <x:v>Buyer agreement, CPV proximity or generic wording may have increased the algorithm score, but these signals are not specific enough.</x:v>
      </x:c>
      <x:c r="I31" s="6" t="str"/>
      <x:c r="J31" s="6" t="str"/>
      <x:c r="K31" s="6" t="str"/>
      <x:c r="L31" s="6" t="str">
        <x:v>Internship guide linkage definition; official BOAMP record fields; same-buyer later-notice search; secondary public procurement source where noted.</x:v>
      </x:c>
      <x:c r="M31" s="6" t="str"/>
      <x:c r="N31" s="6" t="str"/>
      <x:c r="O31" s="6" t="str"/>
      <x:c r="P31" s="6" t="str"/>
      <x:c r="Q31" s="6" t="str"/>
      <x:c r="R31" s="6" t="str"/>
    </x:row>
    <x:row r="32" ht="72" customHeight="1">
      <x:c r="A32" s="6" t="str">
        <x:v>AUDIT-031</x:v>
      </x:c>
      <x:c r="B32" s="6" t="str">
        <x:v>17-3608 -&gt; 17-132446</x:v>
      </x:c>
      <x:c r="C32" s="6" t="str">
        <x:v>WRONG_LINK</x:v>
      </x:c>
      <x:c r="D32" s="6" t="str">
        <x:v>HIGH</x:v>
      </x:c>
      <x:c r="E32" s="6" t="str">
        <x:v>The source is 'Acquisition et mise en place d'un progiciel' while the candidate is 'FOURNITURE DE POSTES INFORMATIQUES'. The concrete functions/equipment are materially different; same buyer and broad digital/CPV similarity do not establish a renewal or relaunch.</x:v>
      </x:c>
      <x:c r="F32" s="6" t="str">
        <x:v>Official BOAMP records: source 17-3608 (INITIAL/APPEL_OFFRE, 2017-01-09); candidate 17-132446 (INITIAL/APPEL_OFFRE, 2017-09-20); gap 8.3442 months.</x:v>
      </x:c>
      <x:c r="G32" s="6" t="str">
        <x:v>https://www.boamp.fr/pages/avis/?q=idweb:17-3608
https://www.boamp.fr/pages/avis/?q=idweb:17-132446</x:v>
      </x:c>
      <x:c r="H32" s="6" t="str">
        <x:v>Buyer agreement, CPV proximity or generic wording may have increased the algorithm score, but these signals are not specific enough.</x:v>
      </x:c>
      <x:c r="I32" s="6" t="str"/>
      <x:c r="J32" s="6" t="str"/>
      <x:c r="K32" s="6" t="str"/>
      <x:c r="L32" s="6" t="str">
        <x:v>Internship guide linkage definition; official BOAMP record fields; same-buyer later-notice search; secondary public procurement source where noted.</x:v>
      </x:c>
      <x:c r="M32" s="6" t="str"/>
      <x:c r="N32" s="6" t="str"/>
      <x:c r="O32" s="6" t="str"/>
      <x:c r="P32" s="6" t="str"/>
      <x:c r="Q32" s="6" t="str"/>
      <x:c r="R32" s="6" t="str"/>
    </x:row>
    <x:row r="33" ht="72" customHeight="1">
      <x:c r="A33" s="6" t="str">
        <x:v>AUDIT-032</x:v>
      </x:c>
      <x:c r="B33" s="6" t="str">
        <x:v>15-153604 -&gt; 16-79410</x:v>
      </x:c>
      <x:c r="C33" s="6" t="str">
        <x:v>WRONG_LINK</x:v>
      </x:c>
      <x:c r="D33" s="6" t="str">
        <x:v>HIGH</x:v>
      </x:c>
      <x:c r="E33" s="6" t="str">
        <x:v>The source is 'maîtrise d'oeuvre pour les travaux de mise en accessibilité des bâtiments erp à Fontenay Le Comte Cedex' while the candidate is 'acquisition et mise en oeuvre de progiciels de gestions financière/paie - elections - population'. The concrete functions/equipment are materially different; same buyer and broad digital/CPV similarity do not establish a renewal or relaunch.</x:v>
      </x:c>
      <x:c r="F33" s="6" t="str">
        <x:v>Official BOAMP records: source 15-153604 (INITIAL/APPEL_OFFRE, 2015-10-08); candidate 16-79410 (INITIAL/APPEL_OFFRE, 2016-06-07); gap 7.9829 months.</x:v>
      </x:c>
      <x:c r="G33" s="6" t="str">
        <x:v>https://www.boamp.fr/pages/avis/?q=idweb:15-153604
https://www.boamp.fr/pages/avis/?q=idweb:16-79410</x:v>
      </x:c>
      <x:c r="H33" s="6" t="str">
        <x:v>Buyer agreement, CPV proximity or generic wording may have increased the algorithm score, but these signals are not specific enough.</x:v>
      </x:c>
      <x:c r="I33" s="6" t="str"/>
      <x:c r="J33" s="6" t="str"/>
      <x:c r="K33" s="6" t="str"/>
      <x:c r="L33" s="6" t="str">
        <x:v>Internship guide linkage definition; official BOAMP record fields; same-buyer later-notice search; secondary public procurement source where noted.</x:v>
      </x:c>
      <x:c r="M33" s="6" t="str"/>
      <x:c r="N33" s="6" t="str"/>
      <x:c r="O33" s="6" t="str"/>
      <x:c r="P33" s="6" t="str"/>
      <x:c r="Q33" s="6" t="str"/>
      <x:c r="R33" s="6" t="str"/>
    </x:row>
    <x:row r="34" ht="72" customHeight="1">
      <x:c r="A34" s="6" t="str">
        <x:v>AUDIT-033</x:v>
      </x:c>
      <x:c r="B34" s="6" t="str">
        <x:v>19-87996 -&gt; 19-118070</x:v>
      </x:c>
      <x:c r="C34" s="6" t="str">
        <x:v>CORRECT_LINK</x:v>
      </x:c>
      <x:c r="D34" s="6" t="str">
        <x:v>MEDIUM</x:v>
      </x:c>
      <x:c r="E34" s="6" t="str">
        <x:v>The two initial notices have the same buyer, identical title and almost identical quantities for computers, screens, scanners, accessories and storage. The second is a credible republication/relaunch of the same procurement need, although BOAMP does not explicitly link them.</x:v>
      </x:c>
      <x:c r="F34" s="6" t="str">
        <x:v>Official BOAMP records: source 19-87996 (INITIAL/APPEL_OFFRE, 2019-06-06); candidate 19-118070 (INITIAL/APPEL_OFFRE, 2019-07-29); gap 1.7411 months.</x:v>
      </x:c>
      <x:c r="G34" s="6" t="str">
        <x:v>https://www.boamp.fr/pages/avis/?q=idweb:19-87996
https://www.boamp.fr/pages/avis/?q=idweb:19-118070</x:v>
      </x:c>
      <x:c r="H34" s="6" t="str">
        <x:v>No explicit direct BOAMP notice link was available.</x:v>
      </x:c>
      <x:c r="I34" s="6" t="str"/>
      <x:c r="J34" s="6" t="str"/>
      <x:c r="K34" s="6" t="str"/>
      <x:c r="L34" s="6" t="str">
        <x:v>Internship guide linkage definition; official BOAMP record fields; same-buyer later-notice search; secondary public procurement source where noted.</x:v>
      </x:c>
      <x:c r="M34" s="6" t="str"/>
      <x:c r="N34" s="6" t="str"/>
      <x:c r="O34" s="6" t="str"/>
      <x:c r="P34" s="6" t="str"/>
      <x:c r="Q34" s="6" t="str"/>
      <x:c r="R34" s="6" t="str"/>
    </x:row>
    <x:row r="35" ht="72" customHeight="1">
      <x:c r="A35" s="6" t="str">
        <x:v>AUDIT-034</x:v>
      </x:c>
      <x:c r="B35" s="6" t="str">
        <x:v>22-42168 -&gt; 22-141594</x:v>
      </x:c>
      <x:c r="C35" s="6" t="str">
        <x:v>WRONG_LINK</x:v>
      </x:c>
      <x:c r="D35" s="6" t="str">
        <x:v>MEDIUM</x:v>
      </x:c>
      <x:c r="E35" s="6" t="str">
        <x:v>The source is 'maintenance et évolution de l'application mobile vivre à angers' while the candidate is 'conception et réalisation quotidienne d'un panorama presse électronique général'. The concrete functions/equipment are materially different; same buyer and broad digital/CPV similarity do not establish a renewal or relaunch.</x:v>
      </x:c>
      <x:c r="F35" s="6" t="str">
        <x:v>Official BOAMP records: source 22-42168 (INITIAL/APPEL_OFFRE, 2022-04-08); candidate 22-141594 (INITIAL/APPEL_OFFRE, 2022-10-21); gap 6.4388 months.</x:v>
      </x:c>
      <x:c r="G35" s="6" t="str">
        <x:v>https://www.boamp.fr/pages/avis/?q=idweb:22-42168
https://www.boamp.fr/pages/avis/?q=idweb:22-141594</x:v>
      </x:c>
      <x:c r="H35" s="6" t="str">
        <x:v>Buyer agreement, CPV proximity or generic wording may have increased the algorithm score, but these signals are not specific enough.</x:v>
      </x:c>
      <x:c r="I35" s="6" t="str"/>
      <x:c r="J35" s="6" t="str"/>
      <x:c r="K35" s="6" t="str"/>
      <x:c r="L35" s="6" t="str">
        <x:v>Internship guide linkage definition; official BOAMP record fields; same-buyer later-notice search; secondary public procurement source where noted.</x:v>
      </x:c>
      <x:c r="M35" s="6" t="str"/>
      <x:c r="N35" s="6" t="str"/>
      <x:c r="O35" s="6" t="str"/>
      <x:c r="P35" s="6" t="str"/>
      <x:c r="Q35" s="6" t="str"/>
      <x:c r="R35" s="6" t="str"/>
    </x:row>
    <x:row r="36" ht="72" customHeight="1">
      <x:c r="A36" s="6" t="str">
        <x:v>AUDIT-035</x:v>
      </x:c>
      <x:c r="B36" s="6" t="str">
        <x:v>24-24049 -&gt; 24-141111</x:v>
      </x:c>
      <x:c r="C36" s="6" t="str">
        <x:v>WRONG_LINK</x:v>
      </x:c>
      <x:c r="D36" s="6" t="str">
        <x:v>HIGH</x:v>
      </x:c>
      <x:c r="E36" s="6" t="str">
        <x:v>The source itself is a rectifying notice for the nurse-call procurement, while the candidate concerns operating-theatre stock and intervention-cart management. These are different systems.</x:v>
      </x:c>
      <x:c r="F36" s="6" t="str">
        <x:v>Official BOAMP records: source 24-24049 (RECTIFICATIF/APPEL_OFFRE, 2024-02-28); candidate 24-141111 (INITIAL/APPEL_OFFRE, 2024-12-18); gap 9.6583 months.</x:v>
      </x:c>
      <x:c r="G36" s="6" t="str">
        <x:v>https://www.boamp.fr/pages/avis/?q=idweb:24-24049
https://www.boamp.fr/pages/avis/?q=idweb:24-141111</x:v>
      </x:c>
      <x:c r="H36" s="6" t="str">
        <x:v>Buyer agreement, CPV proximity or generic wording may have increased the algorithm score, but these signals are not specific enough.</x:v>
      </x:c>
      <x:c r="I36" s="6" t="str"/>
      <x:c r="J36" s="6" t="str"/>
      <x:c r="K36" s="6" t="str"/>
      <x:c r="L36" s="6" t="str">
        <x:v>Internship guide linkage definition; official BOAMP record fields; same-buyer later-notice search; secondary public procurement source where noted.</x:v>
      </x:c>
      <x:c r="M36" s="6" t="str"/>
      <x:c r="N36" s="6" t="str"/>
      <x:c r="O36" s="6" t="str"/>
      <x:c r="P36" s="6" t="str"/>
      <x:c r="Q36" s="6" t="str"/>
      <x:c r="R36" s="6" t="str"/>
    </x:row>
    <x:row r="37" ht="72" customHeight="1">
      <x:c r="A37" s="6" t="str">
        <x:v>AUDIT-036</x:v>
      </x:c>
      <x:c r="B37" s="6" t="str">
        <x:v>18-21245 -&gt; 18-127908</x:v>
      </x:c>
      <x:c r="C37" s="6" t="str">
        <x:v>WRONG_LINK</x:v>
      </x:c>
      <x:c r="D37" s="6" t="str">
        <x:v>HIGH</x:v>
      </x:c>
      <x:c r="E37" s="6" t="str">
        <x:v>The source is 'Acquisition et la mise en oeuvre d'une solution de dématérialisation des marchés publics y compris prestations associées (formation, a…' while the candidate is 'Assistance à maîtrise d'ouvrage (AMO) en vue de l'accompagnement à la mise en oeuvre du Plan de continuité informatique du système d'i…'. The concrete functions/equipment are materially different; same buyer and broad digital/CPV similarity do not establish a renewal or relaunch.</x:v>
      </x:c>
      <x:c r="F37" s="6" t="str">
        <x:v>Official BOAMP records: source 18-21245 (INITIAL/APPEL_OFFRE, 2018-02-14); candidate 18-127908 (INITIAL/APPEL_OFFRE, 2018-09-13); gap 6.9316 months.</x:v>
      </x:c>
      <x:c r="G37" s="6" t="str">
        <x:v>https://www.boamp.fr/pages/avis/?q=idweb:18-21245
https://www.boamp.fr/pages/avis/?q=idweb:18-127908</x:v>
      </x:c>
      <x:c r="H37" s="6" t="str">
        <x:v>Buyer agreement, CPV proximity or generic wording may have increased the algorithm score, but these signals are not specific enough.</x:v>
      </x:c>
      <x:c r="I37" s="6" t="str"/>
      <x:c r="J37" s="6" t="str"/>
      <x:c r="K37" s="6" t="str"/>
      <x:c r="L37" s="6" t="str">
        <x:v>Internship guide linkage definition; official BOAMP record fields; same-buyer later-notice search; secondary public procurement source where noted.</x:v>
      </x:c>
      <x:c r="M37" s="6" t="str"/>
      <x:c r="N37" s="6" t="str"/>
      <x:c r="O37" s="6" t="str"/>
      <x:c r="P37" s="6" t="str"/>
      <x:c r="Q37" s="6" t="str"/>
      <x:c r="R37" s="6" t="str"/>
    </x:row>
    <x:row r="38" ht="72" customHeight="1">
      <x:c r="A38" s="6" t="str">
        <x:v>AUDIT-037</x:v>
      </x:c>
      <x:c r="B38" s="6" t="str">
        <x:v>19-109269 -&gt; 20-29934</x:v>
      </x:c>
      <x:c r="C38" s="6" t="str">
        <x:v>WRONG_LINK</x:v>
      </x:c>
      <x:c r="D38" s="6" t="str">
        <x:v>HIGH</x:v>
      </x:c>
      <x:c r="E38" s="6" t="str">
        <x:v>The source is 'fourniture de pistolets à impulsion électrique, munitions et accessoires pour la police municipale de la ville de nantes' while the candidate is 'fourniture de vêtements et chaussures pour les agents de la police municipale, de la police métropolitaine des transports en commun et…'. The concrete functions/equipment are materially different; same buyer and broad digital/CPV similarity do not establish a renewal or relaunch.</x:v>
      </x:c>
      <x:c r="F38" s="6" t="str">
        <x:v>Official BOAMP records: source 19-109269 (INITIAL/APPEL_OFFRE, 2019-08-02); candidate 20-29934 (INITIAL/APPEL_OFFRE, 2020-02-28); gap 6.8988 months.</x:v>
      </x:c>
      <x:c r="G38" s="6" t="str">
        <x:v>https://www.boamp.fr/pages/avis/?q=idweb:19-109269
https://www.boamp.fr/pages/avis/?q=idweb:20-29934</x:v>
      </x:c>
      <x:c r="H38" s="6" t="str">
        <x:v>Buyer agreement, CPV proximity or generic wording may have increased the algorithm score, but these signals are not specific enough.</x:v>
      </x:c>
      <x:c r="I38" s="6" t="str"/>
      <x:c r="J38" s="6" t="str"/>
      <x:c r="K38" s="6" t="str"/>
      <x:c r="L38" s="6" t="str">
        <x:v>Internship guide linkage definition; official BOAMP record fields; same-buyer later-notice search; secondary public procurement source where noted.</x:v>
      </x:c>
      <x:c r="M38" s="6" t="str"/>
      <x:c r="N38" s="6" t="str"/>
      <x:c r="O38" s="6" t="str"/>
      <x:c r="P38" s="6" t="str"/>
      <x:c r="Q38" s="6" t="str"/>
      <x:c r="R38" s="6" t="str"/>
    </x:row>
    <x:row r="39" ht="72" customHeight="1">
      <x:c r="A39" s="6" t="str">
        <x:v>AUDIT-038</x:v>
      </x:c>
      <x:c r="B39" s="6" t="str">
        <x:v>17-100105 -&gt; 18-38591</x:v>
      </x:c>
      <x:c r="C39" s="6" t="str">
        <x:v>WRONG_LINK</x:v>
      </x:c>
      <x:c r="D39" s="6" t="str">
        <x:v>HIGH</x:v>
      </x:c>
      <x:c r="E39" s="6" t="str">
        <x:v>The source is '17s0056 - renouvellement des infrastructures de stockage informatique' while the candidate is '18s0029- acquisition et maintenance d'un logiciel de gestion d'activités pour l'espace public pour la ville de saint nazaire et la car…'. The concrete functions/equipment are materially different; same buyer and broad digital/CPV similarity do not establish a renewal or relaunch.</x:v>
      </x:c>
      <x:c r="F39" s="6" t="str">
        <x:v>Official BOAMP records: source 17-100105 (INITIAL/APPEL_OFFRE, 2017-07-20); candidate 18-38591 (INITIAL/APPEL_OFFRE, 2018-03-21); gap 8.0157 months.</x:v>
      </x:c>
      <x:c r="G39" s="6" t="str">
        <x:v>https://www.boamp.fr/pages/avis/?q=idweb:17-100105
https://www.boamp.fr/pages/avis/?q=idweb:18-38591</x:v>
      </x:c>
      <x:c r="H39" s="6" t="str">
        <x:v>Buyer agreement, CPV proximity or generic wording may have increased the algorithm score, but these signals are not specific enough.</x:v>
      </x:c>
      <x:c r="I39" s="6" t="str"/>
      <x:c r="J39" s="6" t="str"/>
      <x:c r="K39" s="6" t="str"/>
      <x:c r="L39" s="6" t="str">
        <x:v>Internship guide linkage definition; official BOAMP record fields; same-buyer later-notice search; secondary public procurement source where noted.</x:v>
      </x:c>
      <x:c r="M39" s="6" t="str"/>
      <x:c r="N39" s="6" t="str"/>
      <x:c r="O39" s="6" t="str"/>
      <x:c r="P39" s="6" t="str"/>
      <x:c r="Q39" s="6" t="str"/>
      <x:c r="R39" s="6" t="str"/>
    </x:row>
    <x:row r="40" ht="72" customHeight="1">
      <x:c r="A40" s="6" t="str">
        <x:v>AUDIT-039</x:v>
      </x:c>
      <x:c r="B40" s="6" t="str">
        <x:v>22-122955 -&gt; 23-34018</x:v>
      </x:c>
      <x:c r="C40" s="6" t="str">
        <x:v>WRONG_LINK</x:v>
      </x:c>
      <x:c r="D40" s="6" t="str">
        <x:v>HIGH</x:v>
      </x:c>
      <x:c r="E40" s="6" t="str">
        <x:v>The candidate concerns water-quality phytoplankton analysis and is itself a rectificatif linked to notice 23-23775; the source concerns outdoor interpretation/scenography. It cannot be the source successor.</x:v>
      </x:c>
      <x:c r="F40" s="6" t="str">
        <x:v>Official BOAMP records: source 22-122955 (INITIAL/APPEL_OFFRE, 2022-09-13); candidate 23-34018 (RECTIFICATIF/APPEL_OFFRE, 2023-03-14); gap 5.9789 months.</x:v>
      </x:c>
      <x:c r="G40" s="6" t="str">
        <x:v>https://www.boamp.fr/pages/avis/?q=idweb:22-122955
https://www.boamp.fr/pages/avis/?q=idweb:23-34018</x:v>
      </x:c>
      <x:c r="H40" s="6" t="str">
        <x:v>Buyer agreement, CPV proximity or generic wording may have increased the algorithm score, but these signals are not specific enough.</x:v>
      </x:c>
      <x:c r="I40" s="6" t="str"/>
      <x:c r="J40" s="6" t="str"/>
      <x:c r="K40" s="6" t="str"/>
      <x:c r="L40" s="6" t="str">
        <x:v>Internship guide linkage definition; official BOAMP record fields; same-buyer later-notice search; secondary public procurement source where noted.</x:v>
      </x:c>
      <x:c r="M40" s="6" t="str"/>
      <x:c r="N40" s="6" t="str"/>
      <x:c r="O40" s="6" t="str"/>
      <x:c r="P40" s="6" t="str"/>
      <x:c r="Q40" s="6" t="str"/>
      <x:c r="R40" s="6" t="str"/>
    </x:row>
    <x:row r="41" ht="72" customHeight="1">
      <x:c r="A41" s="6" t="str">
        <x:v>AUDIT-040</x:v>
      </x:c>
      <x:c r="B41" s="6" t="str">
        <x:v>17-48788 -&gt; 18-12119</x:v>
      </x:c>
      <x:c r="C41" s="6" t="str">
        <x:v>WRONG_LINK</x:v>
      </x:c>
      <x:c r="D41" s="6" t="str">
        <x:v>MEDIUM</x:v>
      </x:c>
      <x:c r="E41" s="6" t="str">
        <x:v>The source is 'Maintenance et évolutions de l'infrastructure de sécurité informatique' while the candidate is 'Renouvellement et exploitation du système d'information multimodale DESTINEO en Région des Pays de la Loire - Lot no4: Prestations d'e…'. The concrete functions/equipment are materially different; same buyer and broad digital/CPV similarity do not establish a renewal or relaunch.</x:v>
      </x:c>
      <x:c r="F41" s="6" t="str">
        <x:v>Official BOAMP records: source 17-48788 (INITIAL/APPEL_OFFRE, 2017-04-06); candidate 18-12119 (INITIAL/APPEL_OFFRE, 2018-01-28); gap 9.7568 months.</x:v>
      </x:c>
      <x:c r="G41" s="6" t="str">
        <x:v>https://www.boamp.fr/pages/avis/?q=idweb:17-48788
https://www.boamp.fr/pages/avis/?q=idweb:18-12119</x:v>
      </x:c>
      <x:c r="H41" s="6" t="str">
        <x:v>Buyer agreement, CPV proximity or generic wording may have increased the algorithm score, but these signals are not specific enough.</x:v>
      </x:c>
      <x:c r="I41" s="6" t="str"/>
      <x:c r="J41" s="6" t="str"/>
      <x:c r="K41" s="6" t="str"/>
      <x:c r="L41" s="6" t="str">
        <x:v>Internship guide linkage definition; official BOAMP record fields; same-buyer later-notice search; secondary public procurement source where noted.</x:v>
      </x:c>
      <x:c r="M41" s="6" t="str"/>
      <x:c r="N41" s="6" t="str"/>
      <x:c r="O41" s="6" t="str"/>
      <x:c r="P41" s="6" t="str"/>
      <x:c r="Q41" s="6" t="str"/>
      <x:c r="R41" s="6" t="str"/>
    </x:row>
    <x:row r="42" ht="72" customHeight="1">
      <x:c r="A42" s="6" t="str">
        <x:v>AUDIT-041</x:v>
      </x:c>
      <x:c r="B42" s="6" t="str">
        <x:v>15-42765 -&gt; 15-167650</x:v>
      </x:c>
      <x:c r="C42" s="6" t="str">
        <x:v>CORRECT_LINK</x:v>
      </x:c>
      <x:c r="D42" s="6" t="str">
        <x:v>MEDIUM</x:v>
      </x:c>
      <x:c r="E42" s="6" t="str">
        <x:v>Both notices procure the same digital tourism campaign for Maine-et-Loire. The candidate is specifically the 2016 campaign and follows the 2015 campaign, supporting a recurring annual procurement need.</x:v>
      </x:c>
      <x:c r="F42" s="6" t="str">
        <x:v>Official BOAMP records: source 15-42765 (INITIAL/APPEL_OFFRE, 2015-03-20); candidate 15-167650 (INITIAL/APPEL_OFFRE, 2015-11-03); gap 7.4901 months.</x:v>
      </x:c>
      <x:c r="G42" s="6" t="str">
        <x:v>https://www.boamp.fr/pages/avis/?q=idweb:15-42765
https://www.boamp.fr/pages/avis/?q=idweb:15-167650</x:v>
      </x:c>
      <x:c r="H42" s="6" t="str">
        <x:v>No explicit direct BOAMP notice link was available.</x:v>
      </x:c>
      <x:c r="I42" s="6" t="str"/>
      <x:c r="J42" s="6" t="str"/>
      <x:c r="K42" s="6" t="str"/>
      <x:c r="L42" s="6" t="str">
        <x:v>Internship guide linkage definition; official BOAMP record fields; same-buyer later-notice search; secondary public procurement source where noted.</x:v>
      </x:c>
      <x:c r="M42" s="6" t="str"/>
      <x:c r="N42" s="6" t="str"/>
      <x:c r="O42" s="6" t="str"/>
      <x:c r="P42" s="6" t="str"/>
      <x:c r="Q42" s="6" t="str"/>
      <x:c r="R42" s="6" t="str"/>
    </x:row>
    <x:row r="43" ht="72" customHeight="1">
      <x:c r="A43" s="6" t="str">
        <x:v>AUDIT-042</x:v>
      </x:c>
      <x:c r="B43" s="6" t="str">
        <x:v>20-61243 -&gt; 20-122198</x:v>
      </x:c>
      <x:c r="C43" s="6" t="str">
        <x:v>WRONG_LINK</x:v>
      </x:c>
      <x:c r="D43" s="6" t="str">
        <x:v>MEDIUM</x:v>
      </x:c>
      <x:c r="E43" s="6" t="str">
        <x:v>The source record is an ANNULATION for planning software, while the candidate is a separate ticketing-software procurement. Neither the notice lifecycle nor the functional object supports a renewal link.</x:v>
      </x:c>
      <x:c r="F43" s="6" t="str">
        <x:v>Official BOAMP records: source 20-61243 (ANNULATION/APPEL_OFFRE, 2020-05-07); candidate 20-122198 (INITIAL/APPEL_OFFRE, 2020-10-06); gap 4.9934 months.</x:v>
      </x:c>
      <x:c r="G43" s="6" t="str">
        <x:v>https://www.boamp.fr/pages/avis/?q=idweb:20-61243
https://www.boamp.fr/pages/avis/?q=idweb:20-122198</x:v>
      </x:c>
      <x:c r="H43" s="6" t="str">
        <x:v>Buyer agreement, CPV proximity or generic wording may have increased the algorithm score, but these signals are not specific enough.</x:v>
      </x:c>
      <x:c r="I43" s="6" t="str"/>
      <x:c r="J43" s="6" t="str"/>
      <x:c r="K43" s="6" t="str"/>
      <x:c r="L43" s="6" t="str">
        <x:v>Internship guide linkage definition; official BOAMP record fields; same-buyer later-notice search; secondary public procurement source where noted.</x:v>
      </x:c>
      <x:c r="M43" s="6" t="str"/>
      <x:c r="N43" s="6" t="str"/>
      <x:c r="O43" s="6" t="str"/>
      <x:c r="P43" s="6" t="str"/>
      <x:c r="Q43" s="6" t="str"/>
      <x:c r="R43" s="6" t="str"/>
    </x:row>
    <x:row r="44" ht="72" customHeight="1">
      <x:c r="A44" s="6" t="str">
        <x:v>AUDIT-043</x:v>
      </x:c>
      <x:c r="B44" s="6" t="str">
        <x:v>23-69649 -&gt; 23-70292</x:v>
      </x:c>
      <x:c r="C44" s="6" t="str">
        <x:v>WRONG_LINK</x:v>
      </x:c>
      <x:c r="D44" s="6" t="str">
        <x:v>HIGH</x:v>
      </x:c>
      <x:c r="E44" s="6" t="str">
        <x:v>The candidate is an ANNULATION explicitly linked to the source notice. It is the same procedure's cancellation, not a later renewal or relaunch.</x:v>
      </x:c>
      <x:c r="F44" s="6" t="str">
        <x:v>Official BOAMP records: source 23-69649 (INITIAL/APPEL_OFFRE, 2023-05-23); candidate 23-70292 (ANNULATION/APPEL_OFFRE, 2023-05-24); gap 0.0328 months.</x:v>
      </x:c>
      <x:c r="G44" s="6" t="str">
        <x:v>https://www.boamp.fr/pages/avis/?q=idweb:23-69649
https://www.boamp.fr/pages/avis/?q=idweb:23-70292</x:v>
      </x:c>
      <x:c r="H44" s="6" t="str">
        <x:v>Buyer agreement, CPV proximity or generic wording may have increased the algorithm score, but these signals are not specific enough.</x:v>
      </x:c>
      <x:c r="I44" s="6" t="str"/>
      <x:c r="J44" s="6" t="str"/>
      <x:c r="K44" s="6" t="str"/>
      <x:c r="L44" s="6" t="str">
        <x:v>Internship guide linkage definition; official BOAMP record fields; same-buyer later-notice search; secondary public procurement source where noted.</x:v>
      </x:c>
      <x:c r="M44" s="6" t="str"/>
      <x:c r="N44" s="6" t="str"/>
      <x:c r="O44" s="6" t="str"/>
      <x:c r="P44" s="6" t="str"/>
      <x:c r="Q44" s="6" t="str"/>
      <x:c r="R44" s="6" t="str"/>
    </x:row>
    <x:row r="45" ht="72" customHeight="1">
      <x:c r="A45" s="6" t="str">
        <x:v>AUDIT-044</x:v>
      </x:c>
      <x:c r="B45" s="6" t="str">
        <x:v>15-162447 -&gt; 16-49246</x:v>
      </x:c>
      <x:c r="C45" s="6" t="str">
        <x:v>WRONG_LINK</x:v>
      </x:c>
      <x:c r="D45" s="6" t="str">
        <x:v>MEDIUM</x:v>
      </x:c>
      <x:c r="E45" s="6" t="str">
        <x:v>The source is 'maintenance, hébergement et évolution de la solution logicielle local trust mpe de dématérialisation des marchés publics à Nantes' while the candidate is 'mise en oeuvre d'une solution logicielle de gestion du processus achat incluant la dimension marchés publics, maintenance et prestatio…'. The concrete functions/equipment are materially different; same buyer and broad digital/CPV similarity do not establish a renewal or relaunch.</x:v>
      </x:c>
      <x:c r="F45" s="6" t="str">
        <x:v>Official BOAMP records: source 15-162447 (INITIAL/APPEL_OFFRE, 2015-10-23); candidate 16-49246 (INITIAL/APPEL_OFFRE, 2016-04-12); gap 5.6504 months.</x:v>
      </x:c>
      <x:c r="G45" s="6" t="str">
        <x:v>https://www.boamp.fr/pages/avis/?q=idweb:15-162447
https://www.boamp.fr/pages/avis/?q=idweb:16-49246</x:v>
      </x:c>
      <x:c r="H45" s="6" t="str">
        <x:v>Buyer agreement, CPV proximity or generic wording may have increased the algorithm score, but these signals are not specific enough.</x:v>
      </x:c>
      <x:c r="I45" s="6" t="str"/>
      <x:c r="J45" s="6" t="str"/>
      <x:c r="K45" s="6" t="str"/>
      <x:c r="L45" s="6" t="str">
        <x:v>Internship guide linkage definition; official BOAMP record fields; same-buyer later-notice search; secondary public procurement source where noted.</x:v>
      </x:c>
      <x:c r="M45" s="6" t="str"/>
      <x:c r="N45" s="6" t="str"/>
      <x:c r="O45" s="6" t="str"/>
      <x:c r="P45" s="6" t="str"/>
      <x:c r="Q45" s="6" t="str"/>
      <x:c r="R45" s="6" t="str"/>
    </x:row>
    <x:row r="46" ht="72" customHeight="1">
      <x:c r="A46" s="6" t="str">
        <x:v>AUDIT-045</x:v>
      </x:c>
      <x:c r="B46" s="6" t="str">
        <x:v>20-132336 -&gt; 21-78352</x:v>
      </x:c>
      <x:c r="C46" s="6" t="str">
        <x:v>WRONG_LINK</x:v>
      </x:c>
      <x:c r="D46" s="6" t="str">
        <x:v>HIGH</x:v>
      </x:c>
      <x:c r="E46" s="6" t="str">
        <x:v>The source is 'acquisition et mise en oeuvre d'une solution logicielle de gestion de la relation aux usagers' while the candidate is 'acquisition, maintenance et hébergement d'un système de contrôle de température dans les unités de production de repas de nantes et de…'. The concrete functions/equipment are materially different; same buyer and broad digital/CPV similarity do not establish a renewal or relaunch.</x:v>
      </x:c>
      <x:c r="F46" s="6" t="str">
        <x:v>Official BOAMP records: source 20-132336 (INITIAL/APPEL_OFFRE, 2020-11-08); candidate 21-78352 (INITIAL/APPEL_OFFRE, 2021-06-09); gap 6.9973 months.</x:v>
      </x:c>
      <x:c r="G46" s="6" t="str">
        <x:v>https://www.boamp.fr/pages/avis/?q=idweb:20-132336
https://www.boamp.fr/pages/avis/?q=idweb:21-78352</x:v>
      </x:c>
      <x:c r="H46" s="6" t="str">
        <x:v>Buyer agreement, CPV proximity or generic wording may have increased the algorithm score, but these signals are not specific enough.</x:v>
      </x:c>
      <x:c r="I46" s="6" t="str"/>
      <x:c r="J46" s="6" t="str"/>
      <x:c r="K46" s="6" t="str"/>
      <x:c r="L46" s="6" t="str">
        <x:v>Internship guide linkage definition; official BOAMP record fields; same-buyer later-notice search; secondary public procurement source where noted.</x:v>
      </x:c>
      <x:c r="M46" s="6" t="str"/>
      <x:c r="N46" s="6" t="str"/>
      <x:c r="O46" s="6" t="str"/>
      <x:c r="P46" s="6" t="str"/>
      <x:c r="Q46" s="6" t="str"/>
      <x:c r="R46" s="6" t="str"/>
    </x:row>
    <x:row r="47" ht="72" customHeight="1">
      <x:c r="A47" s="6" t="str">
        <x:v>AUDIT-046</x:v>
      </x:c>
      <x:c r="B47" s="6" t="str">
        <x:v>15-185112 -&gt; 16-172610</x:v>
      </x:c>
      <x:c r="C47" s="6" t="str">
        <x:v>WRONG_LINK</x:v>
      </x:c>
      <x:c r="D47" s="6" t="str">
        <x:v>HIGH</x:v>
      </x:c>
      <x:c r="E47" s="6" t="str">
        <x:v>The source is 'conception, réalisation et installation de productions multimédias au musée des enfants à La Roche Sur Yon' while the candidate is 'Acquisition d'un logiciel de gestion des entretiens d'évaluation, prestations de mise en oeuvre associées et maintenance'. The concrete functions/equipment are materially different; same buyer and broad digital/CPV similarity do not establish a renewal or relaunch.</x:v>
      </x:c>
      <x:c r="F47" s="6" t="str">
        <x:v>Official BOAMP records: source 15-185112 (INITIAL/APPEL_OFFRE, 2015-12-10); candidate 16-172610 (INITIAL/APPEL_OFFRE, 2016-11-30); gap 11.695 months.</x:v>
      </x:c>
      <x:c r="G47" s="6" t="str">
        <x:v>https://www.boamp.fr/pages/avis/?q=idweb:15-185112
https://www.boamp.fr/pages/avis/?q=idweb:16-172610</x:v>
      </x:c>
      <x:c r="H47" s="6" t="str">
        <x:v>Buyer agreement, CPV proximity or generic wording may have increased the algorithm score, but these signals are not specific enough.</x:v>
      </x:c>
      <x:c r="I47" s="6" t="str"/>
      <x:c r="J47" s="6" t="str"/>
      <x:c r="K47" s="6" t="str"/>
      <x:c r="L47" s="6" t="str">
        <x:v>Internship guide linkage definition; official BOAMP record fields; same-buyer later-notice search; secondary public procurement source where noted.</x:v>
      </x:c>
      <x:c r="M47" s="6" t="str"/>
      <x:c r="N47" s="6" t="str"/>
      <x:c r="O47" s="6" t="str"/>
      <x:c r="P47" s="6" t="str"/>
      <x:c r="Q47" s="6" t="str"/>
      <x:c r="R47" s="6" t="str"/>
    </x:row>
    <x:row r="48" ht="72" customHeight="1">
      <x:c r="A48" s="6" t="str">
        <x:v>AUDIT-047</x:v>
      </x:c>
      <x:c r="B48" s="6" t="str">
        <x:v>22-116324 -&gt; 23-117420</x:v>
      </x:c>
      <x:c r="C48" s="6" t="str">
        <x:v>WRONG_LINK</x:v>
      </x:c>
      <x:c r="D48" s="6" t="str">
        <x:v>HIGH</x:v>
      </x:c>
      <x:c r="E48" s="6" t="str">
        <x:v>The source is 'Acquisition et maintenance d'un système de guidage et de géolocalisation dans le cadre de la collecte des déchets pour 4 ans' while the candidate is 'Acquisition, installation, calage et maintenance de matériel de projection - Mapping et supports techniques dans le cadre de la Nuit d…'. The concrete functions/equipment are materially different; same buyer and broad digital/CPV similarity do not establish a renewal or relaunch.</x:v>
      </x:c>
      <x:c r="F48" s="6" t="str">
        <x:v>Official BOAMP records: source 22-116324 (INITIAL/APPEL_OFFRE, 2022-08-31); candidate 23-117420 (INITIAL/APPEL_OFFRE, 2023-08-24); gap 11.760 months.</x:v>
      </x:c>
      <x:c r="G48" s="6" t="str">
        <x:v>https://www.boamp.fr/pages/avis/?q=idweb:22-116324
https://www.boamp.fr/pages/avis/?q=idweb:23-117420</x:v>
      </x:c>
      <x:c r="H48" s="6" t="str">
        <x:v>Buyer agreement, CPV proximity or generic wording may have increased the algorithm score, but these signals are not specific enough.</x:v>
      </x:c>
      <x:c r="I48" s="6" t="str"/>
      <x:c r="J48" s="6" t="str"/>
      <x:c r="K48" s="6" t="str"/>
      <x:c r="L48" s="6" t="str">
        <x:v>Internship guide linkage definition; official BOAMP record fields; same-buyer later-notice search; secondary public procurement source where noted.</x:v>
      </x:c>
      <x:c r="M48" s="6" t="str"/>
      <x:c r="N48" s="6" t="str"/>
      <x:c r="O48" s="6" t="str"/>
      <x:c r="P48" s="6" t="str"/>
      <x:c r="Q48" s="6" t="str"/>
      <x:c r="R48" s="6" t="str"/>
    </x:row>
    <x:row r="49" ht="72" customHeight="1">
      <x:c r="A49" s="6" t="str">
        <x:v>AUDIT-048</x:v>
      </x:c>
      <x:c r="B49" s="6" t="str">
        <x:v>18-103911 -&gt; 18-164871</x:v>
      </x:c>
      <x:c r="C49" s="6" t="str">
        <x:v>WRONG_LINK</x:v>
      </x:c>
      <x:c r="D49" s="6" t="str">
        <x:v>HIGH</x:v>
      </x:c>
      <x:c r="E49" s="6" t="str">
        <x:v>The source is 'accord-cadre - evaluation préalable, fourniture, pose, prestations de services associées et maintenance de l'ensemble des matériels né…' while the candidate is 'conception d'une maquette numérique avec son support physique (y compris mobilier) et les interfaces numériques (écrans) nécessaires à…'. The concrete functions/equipment are materially different; same buyer and broad digital/CPV similarity do not establish a renewal or relaunch.</x:v>
      </x:c>
      <x:c r="F49" s="6" t="str">
        <x:v>Official BOAMP records: source 18-103911 (INITIAL/APPEL_OFFRE, 2018-07-26); candidate 18-164871 (INITIAL/APPEL_OFFRE, 2018-11-26); gap 4.0407 months.</x:v>
      </x:c>
      <x:c r="G49" s="6" t="str">
        <x:v>https://www.boamp.fr/pages/avis/?q=idweb:18-103911
https://www.boamp.fr/pages/avis/?q=idweb:18-164871</x:v>
      </x:c>
      <x:c r="H49" s="6" t="str">
        <x:v>Buyer agreement, CPV proximity or generic wording may have increased the algorithm score, but these signals are not specific enough.</x:v>
      </x:c>
      <x:c r="I49" s="6" t="str"/>
      <x:c r="J49" s="6" t="str"/>
      <x:c r="K49" s="6" t="str"/>
      <x:c r="L49" s="6" t="str">
        <x:v>Internship guide linkage definition; official BOAMP record fields; same-buyer later-notice search; secondary public procurement source where noted.</x:v>
      </x:c>
      <x:c r="M49" s="6" t="str"/>
      <x:c r="N49" s="6" t="str"/>
      <x:c r="O49" s="6" t="str"/>
      <x:c r="P49" s="6" t="str"/>
      <x:c r="Q49" s="6" t="str"/>
      <x:c r="R49" s="6" t="str"/>
    </x:row>
    <x:row r="50" ht="72" customHeight="1">
      <x:c r="A50" s="6" t="str">
        <x:v>AUDIT-049</x:v>
      </x:c>
      <x:c r="B50" s="6" t="str">
        <x:v>19-101998 -&gt; 20-52194</x:v>
      </x:c>
      <x:c r="C50" s="6" t="str">
        <x:v>WRONG_LINK</x:v>
      </x:c>
      <x:c r="D50" s="6" t="str">
        <x:v>MEDIUM</x:v>
      </x:c>
      <x:c r="E50" s="6" t="str">
        <x:v>The source is 'Refonte de l'infrastructure du système d'information de la ville de Couëron' while the candidate is 'Acquisition de licences informatiques 'Microsoft' 2020-2022 pour la ville de Couëron'. The concrete functions/equipment are materially different; same buyer and broad digital/CPV similarity do not establish a renewal or relaunch.</x:v>
      </x:c>
      <x:c r="F50" s="6" t="str">
        <x:v>Official BOAMP records: source 19-101998 (INITIAL/APPEL_OFFRE, 2019-07-04); candidate 20-52194 (INITIAL/APPEL_OFFRE, 2020-04-14); gap 9.3626 months.</x:v>
      </x:c>
      <x:c r="G50" s="6" t="str">
        <x:v>https://www.boamp.fr/pages/avis/?q=idweb:19-101998
https://www.boamp.fr/pages/avis/?q=idweb:20-52194</x:v>
      </x:c>
      <x:c r="H50" s="6" t="str">
        <x:v>Buyer agreement, CPV proximity or generic wording may have increased the algorithm score, but these signals are not specific enough.</x:v>
      </x:c>
      <x:c r="I50" s="6" t="str"/>
      <x:c r="J50" s="6" t="str"/>
      <x:c r="K50" s="6" t="str"/>
      <x:c r="L50" s="6" t="str">
        <x:v>Internship guide linkage definition; official BOAMP record fields; same-buyer later-notice search; secondary public procurement source where noted.</x:v>
      </x:c>
      <x:c r="M50" s="6" t="str"/>
      <x:c r="N50" s="6" t="str"/>
      <x:c r="O50" s="6" t="str"/>
      <x:c r="P50" s="6" t="str"/>
      <x:c r="Q50" s="6" t="str"/>
      <x:c r="R50" s="6" t="str"/>
    </x:row>
    <x:row r="51" ht="72" customHeight="1">
      <x:c r="A51" s="6" t="str">
        <x:v>AUDIT-050</x:v>
      </x:c>
      <x:c r="B51" s="6" t="str">
        <x:v>16-148980 -&gt; 17-135696</x:v>
      </x:c>
      <x:c r="C51" s="6" t="str">
        <x:v>WRONG_LINK</x:v>
      </x:c>
      <x:c r="D51" s="6" t="str">
        <x:v>HIGH</x:v>
      </x:c>
      <x:c r="E51" s="6" t="str">
        <x:v>The source is 'Assistance à l'administration de bases de données' while the candidate is 'Fourniture, installation et maintenance de webcams sur des sites vendéens'. The concrete functions/equipment are materially different; same buyer and broad digital/CPV similarity do not establish a renewal or relaunch.</x:v>
      </x:c>
      <x:c r="F51" s="6" t="str">
        <x:v>Official BOAMP records: source 16-148980 (INITIAL/APPEL_OFFRE, 2016-10-13); candidate 17-135696 (INITIAL/APPEL_OFFRE, 2017-09-26); gap 11.432 months.</x:v>
      </x:c>
      <x:c r="G51" s="6" t="str">
        <x:v>https://www.boamp.fr/pages/avis/?q=idweb:16-148980
https://www.boamp.fr/pages/avis/?q=idweb:17-135696</x:v>
      </x:c>
      <x:c r="H51" s="6" t="str">
        <x:v>Buyer agreement, CPV proximity or generic wording may have increased the algorithm score, but these signals are not specific enough.</x:v>
      </x:c>
      <x:c r="I51" s="6" t="str"/>
      <x:c r="J51" s="6" t="str"/>
      <x:c r="K51" s="6" t="str"/>
      <x:c r="L51" s="6" t="str">
        <x:v>Internship guide linkage definition; official BOAMP record fields; same-buyer later-notice search; secondary public procurement source where noted.</x:v>
      </x:c>
      <x:c r="M51" s="6" t="str"/>
      <x:c r="N51" s="6" t="str"/>
      <x:c r="O51" s="6" t="str"/>
      <x:c r="P51" s="6" t="str"/>
      <x:c r="Q51" s="6" t="str"/>
      <x:c r="R51" s="6" t="str"/>
    </x:row>
    <x:row r="52" ht="72" customHeight="1">
      <x:c r="A52" s="6" t="str">
        <x:v>AUDIT-051</x:v>
      </x:c>
      <x:c r="B52" s="6" t="str">
        <x:v>25-129855 -&gt; 26-55163</x:v>
      </x:c>
      <x:c r="C52" s="6" t="str">
        <x:v>WRONG_LINK</x:v>
      </x:c>
      <x:c r="D52" s="6" t="str">
        <x:v>HIGH</x:v>
      </x:c>
      <x:c r="E52" s="6" t="str">
        <x:v>The source is 'Prestation de transcription et rédaction de procès-verbaux à partir de fichiers sons numériques pour le compte du CHU de Nantes' while the candidate is 'Tierce maintenance applicative des logiciels PRENEONAT et PEDIALOG au CHU de Nantes (2 lots)'. The concrete functions/equipment are materially different; same buyer and broad digital/CPV similarity do not establish a renewal or relaunch.</x:v>
      </x:c>
      <x:c r="F52" s="6" t="str">
        <x:v>Official BOAMP records: source 25-129855 (INITIAL/APPEL_OFFRE, 2025-11-24); candidate 26-55163 (INITIAL/APPEL_OFFRE, 2026-06-04); gap 6.3074 months.</x:v>
      </x:c>
      <x:c r="G52" s="6" t="str">
        <x:v>https://www.boamp.fr/pages/avis/?q=idweb:25-129855
https://www.boamp.fr/pages/avis/?q=idweb:26-55163</x:v>
      </x:c>
      <x:c r="H52" s="6" t="str">
        <x:v>Buyer agreement, CPV proximity or generic wording may have increased the algorithm score, but these signals are not specific enough.</x:v>
      </x:c>
      <x:c r="I52" s="6" t="str"/>
      <x:c r="J52" s="6" t="str"/>
      <x:c r="K52" s="6" t="str"/>
      <x:c r="L52" s="6" t="str">
        <x:v>Internship guide linkage definition; official BOAMP record fields; same-buyer later-notice search; secondary public procurement source where noted.</x:v>
      </x:c>
      <x:c r="M52" s="6" t="str"/>
      <x:c r="N52" s="6" t="str"/>
      <x:c r="O52" s="6" t="str"/>
      <x:c r="P52" s="6" t="str"/>
      <x:c r="Q52" s="6" t="str"/>
      <x:c r="R52" s="6" t="str"/>
    </x:row>
    <x:row r="53" ht="72" customHeight="1">
      <x:c r="A53" s="6" t="str">
        <x:v>AUDIT-052</x:v>
      </x:c>
      <x:c r="B53" s="6" t="str">
        <x:v>22-87044 -&gt; 23-56091</x:v>
      </x:c>
      <x:c r="C53" s="6" t="str">
        <x:v>WRONG_LINK</x:v>
      </x:c>
      <x:c r="D53" s="6" t="str">
        <x:v>HIGH</x:v>
      </x:c>
      <x:c r="E53" s="6" t="str">
        <x:v>The source is 'La présente consultation a pour objet l'acquisition par l'IUT de Lorient de l'UBS d'une fraiseuse à commande numérique.' while the candidate is 'Equipements audiovisuels dans les salles de conseils de l'UBS'. The concrete functions/equipment are materially different; same buyer and broad digital/CPV similarity do not establish a renewal or relaunch.</x:v>
      </x:c>
      <x:c r="F53" s="6" t="str">
        <x:v>Official BOAMP records: source 22-87044 (INITIAL/APPEL_OFFRE, 2022-06-21); candidate 23-56091 (INITIAL/APPEL_OFFRE, 2023-04-26); gap 10.151 months.</x:v>
      </x:c>
      <x:c r="G53" s="6" t="str">
        <x:v>https://www.boamp.fr/pages/avis/?q=idweb:22-87044
https://www.boamp.fr/pages/avis/?q=idweb:23-56091</x:v>
      </x:c>
      <x:c r="H53" s="6" t="str">
        <x:v>Buyer agreement, CPV proximity or generic wording may have increased the algorithm score, but these signals are not specific enough.</x:v>
      </x:c>
      <x:c r="I53" s="6" t="str"/>
      <x:c r="J53" s="6" t="str"/>
      <x:c r="K53" s="6" t="str"/>
      <x:c r="L53" s="6" t="str">
        <x:v>Internship guide linkage definition; official BOAMP record fields; same-buyer later-notice search; secondary public procurement source where noted.</x:v>
      </x:c>
      <x:c r="M53" s="6" t="str"/>
      <x:c r="N53" s="6" t="str"/>
      <x:c r="O53" s="6" t="str"/>
      <x:c r="P53" s="6" t="str"/>
      <x:c r="Q53" s="6" t="str"/>
      <x:c r="R53" s="6" t="str"/>
    </x:row>
    <x:row r="54" ht="72" customHeight="1">
      <x:c r="A54" s="6" t="str">
        <x:v>AUDIT-053</x:v>
      </x:c>
      <x:c r="B54" s="6" t="str">
        <x:v>15-146824 -&gt; 16-9312</x:v>
      </x:c>
      <x:c r="C54" s="6" t="str">
        <x:v>WRONG_LINK</x:v>
      </x:c>
      <x:c r="D54" s="6" t="str">
        <x:v>HIGH</x:v>
      </x:c>
      <x:c r="E54" s="6" t="str">
        <x:v>The source is 'fourniture et installation d'un système d'information enfance à Cholet' while the candidate is 'travaux de mise en accessibilité des établissements recevant du public (erp) (2016-2019) groupement de commandes-accord cadre à Cholet'. The concrete functions/equipment are materially different; same buyer and broad digital/CPV similarity do not establish a renewal or relaunch.</x:v>
      </x:c>
      <x:c r="F54" s="6" t="str">
        <x:v>Official BOAMP records: source 15-146824 (INITIAL/APPEL_OFFRE, 2015-09-28); candidate 16-9312 (INITIAL/APPEL_OFFRE, 2016-03-15); gap 5.5519 months.</x:v>
      </x:c>
      <x:c r="G54" s="6" t="str">
        <x:v>https://www.boamp.fr/pages/avis/?q=idweb:15-146824
https://www.boamp.fr/pages/avis/?q=idweb:16-9312</x:v>
      </x:c>
      <x:c r="H54" s="6" t="str">
        <x:v>Buyer agreement, CPV proximity or generic wording may have increased the algorithm score, but these signals are not specific enough.</x:v>
      </x:c>
      <x:c r="I54" s="6" t="str"/>
      <x:c r="J54" s="6" t="str"/>
      <x:c r="K54" s="6" t="str"/>
      <x:c r="L54" s="6" t="str">
        <x:v>Internship guide linkage definition; official BOAMP record fields; same-buyer later-notice search; secondary public procurement source where noted.</x:v>
      </x:c>
      <x:c r="M54" s="6" t="str"/>
      <x:c r="N54" s="6" t="str"/>
      <x:c r="O54" s="6" t="str"/>
      <x:c r="P54" s="6" t="str"/>
      <x:c r="Q54" s="6" t="str"/>
      <x:c r="R54" s="6" t="str"/>
    </x:row>
    <x:row r="55" ht="72" customHeight="1">
      <x:c r="A55" s="6" t="str">
        <x:v>AUDIT-054</x:v>
      </x:c>
      <x:c r="B55" s="6" t="str">
        <x:v>17-170763 -&gt; 18-82638</x:v>
      </x:c>
      <x:c r="C55" s="6" t="str">
        <x:v>WRONG_LINK</x:v>
      </x:c>
      <x:c r="D55" s="6" t="str">
        <x:v>HIGH</x:v>
      </x:c>
      <x:c r="E55" s="6" t="str">
        <x:v>The source is 'Location maintenance d'une machine de mise sous pli et d'une solution d'impression sur enveloppes haute capacité avec son logiciel - L…' while the candidate is 'Extension du système de vidéoprotection - 85000 La Roche-sur-Yon'. The concrete functions/equipment are materially different; same buyer and broad digital/CPV similarity do not establish a renewal or relaunch.</x:v>
      </x:c>
      <x:c r="F55" s="6" t="str">
        <x:v>Official BOAMP records: source 17-170763 (INITIAL/APPEL_OFFRE, 2017-12-04); candidate 18-82638 (INITIAL/APPEL_OFFRE, 2018-06-15); gap 6.3403 months.</x:v>
      </x:c>
      <x:c r="G55" s="6" t="str">
        <x:v>https://www.boamp.fr/pages/avis/?q=idweb:17-170763
https://www.boamp.fr/pages/avis/?q=idweb:18-82638</x:v>
      </x:c>
      <x:c r="H55" s="6" t="str">
        <x:v>Buyer agreement, CPV proximity or generic wording may have increased the algorithm score, but these signals are not specific enough.</x:v>
      </x:c>
      <x:c r="I55" s="6" t="str"/>
      <x:c r="J55" s="6" t="str"/>
      <x:c r="K55" s="6" t="str"/>
      <x:c r="L55" s="6" t="str">
        <x:v>Internship guide linkage definition; official BOAMP record fields; same-buyer later-notice search; secondary public procurement source where noted.</x:v>
      </x:c>
      <x:c r="M55" s="6" t="str"/>
      <x:c r="N55" s="6" t="str"/>
      <x:c r="O55" s="6" t="str"/>
      <x:c r="P55" s="6" t="str"/>
      <x:c r="Q55" s="6" t="str"/>
      <x:c r="R55" s="6" t="str"/>
    </x:row>
    <x:row r="56" ht="72" customHeight="1">
      <x:c r="A56" s="6" t="str">
        <x:v>AUDIT-055</x:v>
      </x:c>
      <x:c r="B56" s="6" t="str">
        <x:v>15-184743 -&gt; 16-80474</x:v>
      </x:c>
      <x:c r="C56" s="6" t="str">
        <x:v>WRONG_LINK</x:v>
      </x:c>
      <x:c r="D56" s="6" t="str">
        <x:v>HIGH</x:v>
      </x:c>
      <x:c r="E56" s="6" t="str">
        <x:v>The source is 'modification du dossier de réalisation de la zac de l'aéropôle sur les communes d'ancenis et de mésangerprocédure adaptée à Ancenis Ce…' while the candidate is 'acquisition, mise en oeuvre et maintenance d'un sytème de gestion intégré pour une mise en réseau des bibliohtèques de la Communauté d…'. The concrete functions/equipment are materially different; same buyer and broad digital/CPV similarity do not establish a renewal or relaunch.</x:v>
      </x:c>
      <x:c r="F56" s="6" t="str">
        <x:v>Official BOAMP records: source 15-184743 (INITIAL/APPEL_OFFRE, 2015-12-11); candidate 16-80474 (INITIAL/APPEL_OFFRE, 2016-06-15); gap 6.1432 months.</x:v>
      </x:c>
      <x:c r="G56" s="6" t="str">
        <x:v>https://www.boamp.fr/pages/avis/?q=idweb:15-184743
https://www.boamp.fr/pages/avis/?q=idweb:16-80474</x:v>
      </x:c>
      <x:c r="H56" s="6" t="str">
        <x:v>Buyer agreement, CPV proximity or generic wording may have increased the algorithm score, but these signals are not specific enough.</x:v>
      </x:c>
      <x:c r="I56" s="6" t="str"/>
      <x:c r="J56" s="6" t="str"/>
      <x:c r="K56" s="6" t="str"/>
      <x:c r="L56" s="6" t="str">
        <x:v>Internship guide linkage definition; official BOAMP record fields; same-buyer later-notice search; secondary public procurement source where noted.</x:v>
      </x:c>
      <x:c r="M56" s="6" t="str"/>
      <x:c r="N56" s="6" t="str"/>
      <x:c r="O56" s="6" t="str"/>
      <x:c r="P56" s="6" t="str"/>
      <x:c r="Q56" s="6" t="str"/>
      <x:c r="R56" s="6" t="str"/>
    </x:row>
    <x:row r="57" ht="72" customHeight="1">
      <x:c r="A57" s="6" t="str">
        <x:v>AUDIT-056</x:v>
      </x:c>
      <x:c r="B57" s="6" t="str">
        <x:v>16-18733 -&gt; 16-183509</x:v>
      </x:c>
      <x:c r="C57" s="6" t="str">
        <x:v>WRONG_LINK</x:v>
      </x:c>
      <x:c r="D57" s="6" t="str">
        <x:v>MEDIUM</x:v>
      </x:c>
      <x:c r="E57" s="6" t="str">
        <x:v>The source is 'acquisition, installation et maintenance d'un progiciel pour la gestion comptable et financière à Le Lion D'Angers' while the candidate is 'acquisition, mise en place et maintenance d'un logiciel métier et déploiement d'un portail famille pour la communauté de communes de l…'. The concrete functions/equipment are materially different; same buyer and broad digital/CPV similarity do not establish a renewal or relaunch.</x:v>
      </x:c>
      <x:c r="F57" s="6" t="str">
        <x:v>Official BOAMP records: source 16-18733 (INITIAL/APPEL_OFFRE, 2016-02-08); candidate 16-183509 (INITIAL/APPEL_OFFRE, 2016-12-23); gap 10.479 months.</x:v>
      </x:c>
      <x:c r="G57" s="6" t="str">
        <x:v>https://www.boamp.fr/pages/avis/?q=idweb:16-18733
https://www.boamp.fr/pages/avis/?q=idweb:16-183509</x:v>
      </x:c>
      <x:c r="H57" s="6" t="str">
        <x:v>Buyer agreement, CPV proximity or generic wording may have increased the algorithm score, but these signals are not specific enough.</x:v>
      </x:c>
      <x:c r="I57" s="6" t="str"/>
      <x:c r="J57" s="6" t="str"/>
      <x:c r="K57" s="6" t="str"/>
      <x:c r="L57" s="6" t="str">
        <x:v>Internship guide linkage definition; official BOAMP record fields; same-buyer later-notice search; secondary public procurement source where noted.</x:v>
      </x:c>
      <x:c r="M57" s="6" t="str"/>
      <x:c r="N57" s="6" t="str"/>
      <x:c r="O57" s="6" t="str"/>
      <x:c r="P57" s="6" t="str"/>
      <x:c r="Q57" s="6" t="str"/>
      <x:c r="R57" s="6" t="str"/>
    </x:row>
    <x:row r="58" ht="72" customHeight="1">
      <x:c r="A58" s="6" t="str">
        <x:v>AUDIT-057</x:v>
      </x:c>
      <x:c r="B58" s="6" t="str">
        <x:v>25-125277 -&gt; 26-3165</x:v>
      </x:c>
      <x:c r="C58" s="6" t="str">
        <x:v>CORRECT_LINK</x:v>
      </x:c>
      <x:c r="D58" s="6" t="str">
        <x:v>HIGH</x:v>
      </x:c>
      <x:c r="E58" s="6" t="str">
        <x:v>The candidate title says RELANCE and the official notice states that the first procedure was declared without further action for public-interest reasons. The technical object is the same prospect/exhibitor/floor-plan solution.</x:v>
      </x:c>
      <x:c r="F58" s="6" t="str">
        <x:v>Official BOAMP records: source 25-125277 (INITIAL/APPEL_OFFRE, 2025-11-13); candidate 26-3165 (INITIAL/APPEL_OFFRE, 2026-01-13); gap 2.0039 months.</x:v>
      </x:c>
      <x:c r="G58" s="6" t="str">
        <x:v>https://www.boamp.fr/pages/avis/?q=idweb:25-125277
https://www.boamp.fr/pages/avis/?q=idweb:26-3165</x:v>
      </x:c>
      <x:c r="H58" s="6" t="str">
        <x:v>None material.</x:v>
      </x:c>
      <x:c r="I58" s="6" t="str"/>
      <x:c r="J58" s="6" t="str"/>
      <x:c r="K58" s="6" t="str"/>
      <x:c r="L58" s="6" t="str">
        <x:v>Internship guide linkage definition; official BOAMP record fields; same-buyer later-notice search; secondary public procurement source where noted.</x:v>
      </x:c>
      <x:c r="M58" s="6" t="str"/>
      <x:c r="N58" s="6" t="str"/>
      <x:c r="O58" s="6" t="str"/>
      <x:c r="P58" s="6" t="str"/>
      <x:c r="Q58" s="6" t="str"/>
      <x:c r="R58" s="6" t="str"/>
    </x:row>
    <x:row r="59" ht="72" customHeight="1">
      <x:c r="A59" s="6" t="str">
        <x:v>AUDIT-058</x:v>
      </x:c>
      <x:c r="B59" s="6" t="str">
        <x:v>19-110370 -&gt; 20-38676</x:v>
      </x:c>
      <x:c r="C59" s="6" t="str">
        <x:v>CORRECT_LINK</x:v>
      </x:c>
      <x:c r="D59" s="6" t="str">
        <x:v>MEDIUM</x:v>
      </x:c>
      <x:c r="E59" s="6" t="str">
        <x:v>The notices describe the same social-support management software, the same buyer group and the same five-year implementation/maintenance scope. The later initial notice is a credible reissued procedure, although BOAMP does not expose an explicit link.</x:v>
      </x:c>
      <x:c r="F59" s="6" t="str">
        <x:v>Official BOAMP records: source 19-110370 (INITIAL/APPEL_OFFRE, 2019-07-19); candidate 20-38676 (INITIAL/APPEL_OFFRE, 2020-03-15); gap 7.8843 months.</x:v>
      </x:c>
      <x:c r="G59" s="6" t="str">
        <x:v>https://www.boamp.fr/pages/avis/?q=idweb:19-110370
https://www.boamp.fr/pages/avis/?q=idweb:20-38676</x:v>
      </x:c>
      <x:c r="H59" s="6" t="str">
        <x:v>No explicit direct BOAMP notice link was available.</x:v>
      </x:c>
      <x:c r="I59" s="6" t="str"/>
      <x:c r="J59" s="6" t="str"/>
      <x:c r="K59" s="6" t="str"/>
      <x:c r="L59" s="6" t="str">
        <x:v>Internship guide linkage definition; official BOAMP record fields; same-buyer later-notice search; secondary public procurement source where noted.</x:v>
      </x:c>
      <x:c r="M59" s="6" t="str"/>
      <x:c r="N59" s="6" t="str"/>
      <x:c r="O59" s="6" t="str"/>
      <x:c r="P59" s="6" t="str"/>
      <x:c r="Q59" s="6" t="str"/>
      <x:c r="R59" s="6" t="str"/>
    </x:row>
    <x:row r="60" ht="72" customHeight="1">
      <x:c r="A60" s="6" t="str">
        <x:v>AUDIT-059</x:v>
      </x:c>
      <x:c r="B60" s="6" t="str">
        <x:v>18-32259 -&gt; 19-10579</x:v>
      </x:c>
      <x:c r="C60" s="6" t="str">
        <x:v>WRONG_LINK</x:v>
      </x:c>
      <x:c r="D60" s="6" t="str">
        <x:v>HIGH</x:v>
      </x:c>
      <x:c r="E60" s="6" t="str">
        <x:v>The source is 'Prestations pour le déploiement d'équipements informatiques' while the candidate is 'Renouvellement du dispositif de lutrins patrimoniaux dans le centre-ville d'Angers (Maine-et-Loire)'. The concrete functions/equipment are materially different; same buyer and broad digital/CPV similarity do not establish a renewal or relaunch.</x:v>
      </x:c>
      <x:c r="F60" s="6" t="str">
        <x:v>Official BOAMP records: source 18-32259 (INITIAL/APPEL_OFFRE, 2018-03-07); candidate 19-10579 (INITIAL/APPEL_OFFRE, 2019-01-21); gap 10.512 months.</x:v>
      </x:c>
      <x:c r="G60" s="6" t="str">
        <x:v>https://www.boamp.fr/pages/avis/?q=idweb:18-32259
https://www.boamp.fr/pages/avis/?q=idweb:19-10579</x:v>
      </x:c>
      <x:c r="H60" s="6" t="str">
        <x:v>Buyer agreement, CPV proximity or generic wording may have increased the algorithm score, but these signals are not specific enough.</x:v>
      </x:c>
      <x:c r="I60" s="6" t="str"/>
      <x:c r="J60" s="6" t="str"/>
      <x:c r="K60" s="6" t="str"/>
      <x:c r="L60" s="6" t="str">
        <x:v>Internship guide linkage definition; official BOAMP record fields; same-buyer later-notice search; secondary public procurement source where noted.</x:v>
      </x:c>
      <x:c r="M60" s="6" t="str"/>
      <x:c r="N60" s="6" t="str"/>
      <x:c r="O60" s="6" t="str"/>
      <x:c r="P60" s="6" t="str"/>
      <x:c r="Q60" s="6" t="str"/>
      <x:c r="R60" s="6" t="str"/>
    </x:row>
    <x:row r="61" ht="72" customHeight="1">
      <x:c r="A61" s="6" t="str">
        <x:v>AUDIT-060</x:v>
      </x:c>
      <x:c r="B61" s="6" t="str">
        <x:v>19-113409 -&gt; 20-37796</x:v>
      </x:c>
      <x:c r="C61" s="6" t="str">
        <x:v>WRONG_LINK</x:v>
      </x:c>
      <x:c r="D61" s="6" t="str">
        <x:v>HIGH</x:v>
      </x:c>
      <x:c r="E61" s="6" t="str">
        <x:v>The source is a rectifying notice for a scenography assignment, while the candidate is intranet third-party application maintenance. The objects are unrelated.</x:v>
      </x:c>
      <x:c r="F61" s="6" t="str">
        <x:v>Official BOAMP records: source 19-113409 (RECTIFICATIF/APPEL_OFFRE, 2019-07-19); candidate 20-37796 (INITIAL/APPEL_OFFRE, 2020-03-12); gap 7.7858 months.</x:v>
      </x:c>
      <x:c r="G61" s="6" t="str">
        <x:v>https://www.boamp.fr/pages/avis/?q=idweb:19-113409
https://www.boamp.fr/pages/avis/?q=idweb:20-37796</x:v>
      </x:c>
      <x:c r="H61" s="6" t="str">
        <x:v>Buyer agreement, CPV proximity or generic wording may have increased the algorithm score, but these signals are not specific enough.</x:v>
      </x:c>
      <x:c r="I61" s="6" t="str"/>
      <x:c r="J61" s="6" t="str"/>
      <x:c r="K61" s="6" t="str"/>
      <x:c r="L61" s="6" t="str">
        <x:v>Internship guide linkage definition; official BOAMP record fields; same-buyer later-notice search; secondary public procurement source where noted.</x:v>
      </x:c>
      <x:c r="M61" s="6" t="str"/>
      <x:c r="N61" s="6" t="str"/>
      <x:c r="O61" s="6" t="str"/>
      <x:c r="P61" s="6" t="str"/>
      <x:c r="Q61" s="6" t="str"/>
      <x:c r="R61" s="6" t="str"/>
    </x:row>
    <x:row r="62" ht="72" customHeight="1">
      <x:c r="A62" s="6" t="str">
        <x:v>AUDIT-061</x:v>
      </x:c>
      <x:c r="B62" s="6" t="str">
        <x:v>20-29934 -&gt; 20-143279</x:v>
      </x:c>
      <x:c r="C62" s="6" t="str">
        <x:v>WRONG_LINK</x:v>
      </x:c>
      <x:c r="D62" s="6" t="str">
        <x:v>HIGH</x:v>
      </x:c>
      <x:c r="E62" s="6" t="str">
        <x:v>The source is 'fourniture de vêtements et chaussures pour les agents de la police municipale, de la police métropolitaine des transports en commun et…' while the candidate is 'mise en oeuvre d'une solution logicielle de conception assistée par ordinateur métal et bois, maintenance et prestations associées'. The concrete functions/equipment are materially different; same buyer and broad digital/CPV similarity do not establish a renewal or relaunch.</x:v>
      </x:c>
      <x:c r="F62" s="6" t="str">
        <x:v>Official BOAMP records: source 20-29934 (INITIAL/APPEL_OFFRE, 2020-02-28); candidate 20-143279 (INITIAL/APPEL_OFFRE, 2020-12-08); gap 9.3298 months.</x:v>
      </x:c>
      <x:c r="G62" s="6" t="str">
        <x:v>https://www.boamp.fr/pages/avis/?q=idweb:20-29934
https://www.boamp.fr/pages/avis/?q=idweb:20-143279</x:v>
      </x:c>
      <x:c r="H62" s="6" t="str">
        <x:v>Buyer agreement, CPV proximity or generic wording may have increased the algorithm score, but these signals are not specific enough.</x:v>
      </x:c>
      <x:c r="I62" s="6" t="str"/>
      <x:c r="J62" s="6" t="str"/>
      <x:c r="K62" s="6" t="str"/>
      <x:c r="L62" s="6" t="str">
        <x:v>Internship guide linkage definition; official BOAMP record fields; same-buyer later-notice search; secondary public procurement source where noted.</x:v>
      </x:c>
      <x:c r="M62" s="6" t="str"/>
      <x:c r="N62" s="6" t="str"/>
      <x:c r="O62" s="6" t="str"/>
      <x:c r="P62" s="6" t="str"/>
      <x:c r="Q62" s="6" t="str"/>
      <x:c r="R62" s="6" t="str"/>
    </x:row>
    <x:row r="63" ht="72" customHeight="1">
      <x:c r="A63" s="6" t="str">
        <x:v>AUDIT-062</x:v>
      </x:c>
      <x:c r="B63" s="6" t="str">
        <x:v>21-99109 -&gt; 22-2872</x:v>
      </x:c>
      <x:c r="C63" s="6" t="str">
        <x:v>WRONG_LINK</x:v>
      </x:c>
      <x:c r="D63" s="6" t="str">
        <x:v>HIGH</x:v>
      </x:c>
      <x:c r="E63" s="6" t="str">
        <x:v>The source is 'Fourniture de tous matériels en lien avec l'informatique' while the candidate is 'Maitrise d'oeuvre (MOE) pour la restructuration du service informatique et la création d'une salle de prélèvement de cornée au Centre …'. The concrete functions/equipment are materially different; same buyer and broad digital/CPV similarity do not establish a renewal or relaunch.</x:v>
      </x:c>
      <x:c r="F63" s="6" t="str">
        <x:v>Official BOAMP records: source 21-99109 (INITIAL/APPEL_OFFRE, 2021-07-18); candidate 22-2872 (INITIAL/APPEL_OFFRE, 2022-01-06); gap 5.6504 months.</x:v>
      </x:c>
      <x:c r="G63" s="6" t="str">
        <x:v>https://www.boamp.fr/pages/avis/?q=idweb:21-99109
https://www.boamp.fr/pages/avis/?q=idweb:22-2872</x:v>
      </x:c>
      <x:c r="H63" s="6" t="str">
        <x:v>Buyer agreement, CPV proximity or generic wording may have increased the algorithm score, but these signals are not specific enough.</x:v>
      </x:c>
      <x:c r="I63" s="6" t="str"/>
      <x:c r="J63" s="6" t="str"/>
      <x:c r="K63" s="6" t="str"/>
      <x:c r="L63" s="6" t="str">
        <x:v>Internship guide linkage definition; official BOAMP record fields; same-buyer later-notice search; secondary public procurement source where noted.</x:v>
      </x:c>
      <x:c r="M63" s="6" t="str"/>
      <x:c r="N63" s="6" t="str"/>
      <x:c r="O63" s="6" t="str"/>
      <x:c r="P63" s="6" t="str"/>
      <x:c r="Q63" s="6" t="str"/>
      <x:c r="R63" s="6" t="str"/>
    </x:row>
    <x:row r="64" ht="72" customHeight="1">
      <x:c r="A64" s="6" t="str">
        <x:v>AUDIT-063</x:v>
      </x:c>
      <x:c r="B64" s="6" t="str">
        <x:v>17-74587 -&gt; 18-21245</x:v>
      </x:c>
      <x:c r="C64" s="6" t="str">
        <x:v>WRONG_LINK</x:v>
      </x:c>
      <x:c r="D64" s="6" t="str">
        <x:v>HIGH</x:v>
      </x:c>
      <x:c r="E64" s="6" t="str">
        <x:v>The source is 'Fourniture, livraison et mise en service régulier d'un outil de gestion du temps de travail pour les agents du Département de la Sarth…' while the candidate is 'Acquisition et la mise en oeuvre d'une solution de dématérialisation des marchés publics y compris prestations associées (formation, a…'. The concrete functions/equipment are materially different; same buyer and broad digital/CPV similarity do not establish a renewal or relaunch.</x:v>
      </x:c>
      <x:c r="F64" s="6" t="str">
        <x:v>Official BOAMP records: source 17-74587 (INITIAL/APPEL_OFFRE, 2017-05-29); candidate 18-21245 (INITIAL/APPEL_OFFRE, 2018-02-14); gap 8.5742 months.</x:v>
      </x:c>
      <x:c r="G64" s="6" t="str">
        <x:v>https://www.boamp.fr/pages/avis/?q=idweb:17-74587
https://www.boamp.fr/pages/avis/?q=idweb:18-21245</x:v>
      </x:c>
      <x:c r="H64" s="6" t="str">
        <x:v>Buyer agreement, CPV proximity or generic wording may have increased the algorithm score, but these signals are not specific enough.</x:v>
      </x:c>
      <x:c r="I64" s="6" t="str"/>
      <x:c r="J64" s="6" t="str"/>
      <x:c r="K64" s="6" t="str"/>
      <x:c r="L64" s="6" t="str">
        <x:v>Internship guide linkage definition; official BOAMP record fields; same-buyer later-notice search; secondary public procurement source where noted.</x:v>
      </x:c>
      <x:c r="M64" s="6" t="str">
        <x:v>17-157486</x:v>
      </x:c>
      <x:c r="N64" s="6" t="str">
        <x:v>COMPOSITE</x:v>
      </x:c>
      <x:c r="O64" s="6" t="str">
        <x:v>WRONG_LINK</x:v>
      </x:c>
      <x:c r="P64" s="6" t="str">
        <x:v>HIGH</x:v>
      </x:c>
      <x:c r="Q64" s="6" t="str">
        <x:v>Composite candidate 17-157486 is project-portfolio management software, not the source time-and-attendance tool.</x:v>
      </x:c>
      <x:c r="R64" s="6" t="str">
        <x:v>https://www.boamp.fr/pages/avis/?q=idweb:17-157486</x:v>
      </x:c>
    </x:row>
    <x:row r="65" ht="72" customHeight="1">
      <x:c r="A65" s="6" t="str">
        <x:v>AUDIT-064</x:v>
      </x:c>
      <x:c r="B65" s="6" t="str">
        <x:v>22-104764 -&gt; 23-48532</x:v>
      </x:c>
      <x:c r="C65" s="6" t="str">
        <x:v>INSUFFICIENT_INFORMATION</x:v>
      </x:c>
      <x:c r="D65" s="6" t="str">
        <x:v>LOW</x:v>
      </x:c>
      <x:c r="E65" s="6" t="str">
        <x:v>The later multimodal information-and-sales platform includes a mobile application and could replace or absorb the TAN app, but it is much broader than the source TMA contract and begins while the 24-month TMA term could still be active. Public evidence is insufficient to decide.</x:v>
      </x:c>
      <x:c r="F65" s="6" t="str">
        <x:v>Official BOAMP records: source 22-104764 (INITIAL/APPEL_OFFRE, 2022-07-29); candidate 23-48532 (INITIAL/APPEL_OFFRE, 2023-04-14); gap 8.5085 months.</x:v>
      </x:c>
      <x:c r="G65" s="6" t="str">
        <x:v>https://www.boamp.fr/pages/avis/?q=idweb:22-104764
https://www.boamp.fr/pages/avis/?q=idweb:23-48532</x:v>
      </x:c>
      <x:c r="H65" s="6" t="str">
        <x:v>The public record does not resolve whether the later/absent notice represents the same procurement need.</x:v>
      </x:c>
      <x:c r="I65" s="6" t="str"/>
      <x:c r="J65" s="6" t="str"/>
      <x:c r="K65" s="6" t="str"/>
      <x:c r="L65" s="6" t="str">
        <x:v>Internship guide linkage definition; official BOAMP record fields; same-buyer later-notice search; secondary public procurement source where noted.</x:v>
      </x:c>
      <x:c r="M65" s="6" t="str">
        <x:v>23-74653</x:v>
      </x:c>
      <x:c r="N65" s="6" t="str">
        <x:v>COMPOSITE</x:v>
      </x:c>
      <x:c r="O65" s="6" t="str">
        <x:v>WRONG_LINK</x:v>
      </x:c>
      <x:c r="P65" s="6" t="str">
        <x:v>HIGH</x:v>
      </x:c>
      <x:c r="Q65" s="6" t="str">
        <x:v>Composite candidate 23-74653 concerns tram-driving simulation systems and is unrelated to TMA for the TAN mobile app.</x:v>
      </x:c>
      <x:c r="R65" s="6" t="str">
        <x:v>https://www.boamp.fr/pages/avis/?q=idweb:23-74653</x:v>
      </x:c>
    </x:row>
    <x:row r="66" ht="72" customHeight="1">
      <x:c r="A66" s="6" t="str">
        <x:v>AUDIT-065</x:v>
      </x:c>
      <x:c r="B66" s="6" t="str">
        <x:v>19-131601 -&gt; 19-131092</x:v>
      </x:c>
      <x:c r="C66" s="6" t="str">
        <x:v>WRONG_LINK</x:v>
      </x:c>
      <x:c r="D66" s="6" t="str">
        <x:v>HIGH</x:v>
      </x:c>
      <x:c r="E66" s="6" t="str">
        <x:v>The source is a rectifying notice for extinguishers; the candidate is spare parts for MSA breathing apparatus. These are different safety-equipment needs.</x:v>
      </x:c>
      <x:c r="F66" s="6" t="str">
        <x:v>Official BOAMP records: source 19-131601 (RECTIFICATIF/APPEL_OFFRE, 2019-08-29); candidate 19-131092 (INITIAL/APPEL_OFFRE, 2019-08-30); gap 0.0328 months.</x:v>
      </x:c>
      <x:c r="G66" s="6" t="str">
        <x:v>https://www.boamp.fr/pages/avis/?q=idweb:19-131601
https://www.boamp.fr/pages/avis/?q=idweb:19-131092</x:v>
      </x:c>
      <x:c r="H66" s="6" t="str">
        <x:v>Buyer agreement, CPV proximity or generic wording may have increased the algorithm score, but these signals are not specific enough.</x:v>
      </x:c>
      <x:c r="I66" s="6" t="str"/>
      <x:c r="J66" s="6" t="str"/>
      <x:c r="K66" s="6" t="str"/>
      <x:c r="L66" s="6" t="str">
        <x:v>Internship guide linkage definition; official BOAMP record fields; same-buyer later-notice search; secondary public procurement source where noted.</x:v>
      </x:c>
      <x:c r="M66" s="6" t="str">
        <x:v>20-67439</x:v>
      </x:c>
      <x:c r="N66" s="6" t="str">
        <x:v>COMPOSITE</x:v>
      </x:c>
      <x:c r="O66" s="6" t="str">
        <x:v>WRONG_LINK</x:v>
      </x:c>
      <x:c r="P66" s="6" t="str">
        <x:v>HIGH</x:v>
      </x:c>
      <x:c r="Q66" s="6" t="str">
        <x:v>Composite candidate 20-67439 concerns firefighter training mannequins, not extinguishers and related consumables.</x:v>
      </x:c>
      <x:c r="R66" s="6" t="str">
        <x:v>https://www.boamp.fr/pages/avis/?q=idweb:20-67439</x:v>
      </x:c>
    </x:row>
    <x:row r="67" ht="72" customHeight="1">
      <x:c r="A67" s="6" t="str">
        <x:v>AUDIT-066</x:v>
      </x:c>
      <x:c r="B67" s="6" t="str">
        <x:v>17-171316 -&gt; 18-79401</x:v>
      </x:c>
      <x:c r="C67" s="6" t="str">
        <x:v>WRONG_LINK</x:v>
      </x:c>
      <x:c r="D67" s="6" t="str">
        <x:v>MEDIUM</x:v>
      </x:c>
      <x:c r="E67" s="6" t="str">
        <x:v>The source is 'Hébergement et infogérance de la solution de gestion de dossiers électronique de l'inventaire' while the candidate is 'Prestation d'assistance sur le système d'information décisionnel, l'open data et l'alimentation et la gestion des bases de données'. The concrete functions/equipment are materially different; same buyer and broad digital/CPV similarity do not establish a renewal or relaunch.</x:v>
      </x:c>
      <x:c r="F67" s="6" t="str">
        <x:v>Official BOAMP records: source 17-171316 (INITIAL/APPEL_OFFRE, 2017-12-07); candidate 18-79401 (INITIAL/APPEL_OFFRE, 2018-06-10); gap 6.0775 months.</x:v>
      </x:c>
      <x:c r="G67" s="6" t="str">
        <x:v>https://www.boamp.fr/pages/avis/?q=idweb:17-171316
https://www.boamp.fr/pages/avis/?q=idweb:18-79401</x:v>
      </x:c>
      <x:c r="H67" s="6" t="str">
        <x:v>Buyer agreement, CPV proximity or generic wording may have increased the algorithm score, but these signals are not specific enough.</x:v>
      </x:c>
      <x:c r="I67" s="6" t="str"/>
      <x:c r="J67" s="6" t="str"/>
      <x:c r="K67" s="6" t="str"/>
      <x:c r="L67" s="6" t="str">
        <x:v>Internship guide linkage definition; official BOAMP record fields; same-buyer later-notice search; secondary public procurement source where noted.</x:v>
      </x:c>
      <x:c r="M67" s="6" t="str">
        <x:v>18-150422</x:v>
      </x:c>
      <x:c r="N67" s="6" t="str">
        <x:v>COMPOSITE</x:v>
      </x:c>
      <x:c r="O67" s="6" t="str">
        <x:v>WRONG_LINK</x:v>
      </x:c>
      <x:c r="P67" s="6" t="str">
        <x:v>MEDIUM</x:v>
      </x:c>
      <x:c r="Q67" s="6" t="str">
        <x:v>Composite candidate 18-150422 concerns general support actions for a directorate, not hosting/outsourcing of the electronic inventory-records solution.</x:v>
      </x:c>
      <x:c r="R67" s="6" t="str">
        <x:v>https://www.boamp.fr/pages/avis/?q=idweb:18-150422</x:v>
      </x:c>
    </x:row>
    <x:row r="68" ht="72" customHeight="1">
      <x:c r="A68" s="6" t="str">
        <x:v>AUDIT-067</x:v>
      </x:c>
      <x:c r="B68" s="6" t="str">
        <x:v>22-39639 -&gt; 22-123803</x:v>
      </x:c>
      <x:c r="C68" s="6" t="str">
        <x:v>WRONG_LINK</x:v>
      </x:c>
      <x:c r="D68" s="6" t="str">
        <x:v>HIGH</x:v>
      </x:c>
      <x:c r="E68" s="6" t="str">
        <x:v>The source is 'Mise en place d'une plateforme web pour le recueil et la pré-instruction des demandes d'aide aux pratiques culturelles et sportives da…' while the candidate is 'Mise en oeuvre d'un outil de Learning management system (Lms) et prestations associées'. The concrete functions/equipment are materially different; same buyer and broad digital/CPV similarity do not establish a renewal or relaunch.</x:v>
      </x:c>
      <x:c r="F68" s="6" t="str">
        <x:v>Official BOAMP records: source 22-39639 (INITIAL/APPEL_OFFRE, 2022-03-17); candidate 22-123803 (INITIAL/APPEL_OFFRE, 2022-09-15); gap 5.9789 months.</x:v>
      </x:c>
      <x:c r="G68" s="6" t="str">
        <x:v>https://www.boamp.fr/pages/avis/?q=idweb:22-39639
https://www.boamp.fr/pages/avis/?q=idweb:22-123803</x:v>
      </x:c>
      <x:c r="H68" s="6" t="str">
        <x:v>Buyer agreement, CPV proximity or generic wording may have increased the algorithm score, but these signals are not specific enough.</x:v>
      </x:c>
      <x:c r="I68" s="6" t="str"/>
      <x:c r="J68" s="6" t="str"/>
      <x:c r="K68" s="6" t="str"/>
      <x:c r="L68" s="6" t="str">
        <x:v>Internship guide linkage definition; official BOAMP record fields; same-buyer later-notice search; secondary public procurement source where noted.</x:v>
      </x:c>
      <x:c r="M68" s="6" t="str"/>
      <x:c r="N68" s="6" t="str"/>
      <x:c r="O68" s="6" t="str"/>
      <x:c r="P68" s="6" t="str"/>
      <x:c r="Q68" s="6" t="str"/>
      <x:c r="R68" s="6" t="str"/>
    </x:row>
    <x:row r="69" ht="72" customHeight="1">
      <x:c r="A69" s="6" t="str">
        <x:v>AUDIT-068</x:v>
      </x:c>
      <x:c r="B69" s="6" t="str">
        <x:v>16-57562 -&gt; 16-70219</x:v>
      </x:c>
      <x:c r="C69" s="6" t="str">
        <x:v>WRONG_LINK</x:v>
      </x:c>
      <x:c r="D69" s="6" t="str">
        <x:v>HIGH</x:v>
      </x:c>
      <x:c r="E69" s="6" t="str">
        <x:v>The reviewed candidate is parking-payment software, not Evidian identity-and-access management. The other algorithm's candidate is only the official rectificatif of the source and is also not a renewal.</x:v>
      </x:c>
      <x:c r="F69" s="6" t="str">
        <x:v>Official BOAMP records: source 16-57562 (INITIAL/APPEL_OFFRE, 2016-04-25); candidate 16-70219 (INITIAL/APPEL_OFFRE, 2016-05-17); gap 0.7227 months.</x:v>
      </x:c>
      <x:c r="G69" s="6" t="str">
        <x:v>https://www.boamp.fr/pages/avis/?q=idweb:16-57562
https://www.boamp.fr/pages/avis/?q=idweb:16-70219</x:v>
      </x:c>
      <x:c r="H69" s="6" t="str">
        <x:v>Buyer agreement, CPV proximity or generic wording may have increased the algorithm score, but these signals are not specific enough.</x:v>
      </x:c>
      <x:c r="I69" s="6" t="str"/>
      <x:c r="J69" s="6" t="str"/>
      <x:c r="K69" s="6" t="str"/>
      <x:c r="L69" s="6" t="str">
        <x:v>Internship guide linkage definition; official BOAMP record fields; same-buyer later-notice search; secondary public procurement source where noted.</x:v>
      </x:c>
      <x:c r="M69" s="6" t="str">
        <x:v>16-70307</x:v>
      </x:c>
      <x:c r="N69" s="6" t="str">
        <x:v>COMPOSITE</x:v>
      </x:c>
      <x:c r="O69" s="6" t="str">
        <x:v>WRONG_LINK</x:v>
      </x:c>
      <x:c r="P69" s="6" t="str">
        <x:v>HIGH</x:v>
      </x:c>
      <x:c r="Q69" s="6" t="str">
        <x:v>Composite candidate 16-70307 is an official RECTIFICATIF linked to the source Evidian notice, not a renewal.</x:v>
      </x:c>
      <x:c r="R69" s="6" t="str">
        <x:v>https://www.boamp.fr/pages/avis/?q=idweb:16-70307</x:v>
      </x:c>
    </x:row>
    <x:row r="70" ht="72" customHeight="1">
      <x:c r="A70" s="6" t="str">
        <x:v>AUDIT-069</x:v>
      </x:c>
      <x:c r="B70" s="6" t="str">
        <x:v>25-76566 -&gt; 25-135765</x:v>
      </x:c>
      <x:c r="C70" s="6" t="str">
        <x:v>WRONG_LINK</x:v>
      </x:c>
      <x:c r="D70" s="6" t="str">
        <x:v>HIGH</x:v>
      </x:c>
      <x:c r="E70" s="6" t="str">
        <x:v>The source is 'Fourniture de matériels et logiciels à la plateforme CAPLAB -Relance' while the candidate is 'Acquisition de produits pour la certification en langue TOEIC pour les étudiants et personnels de l’ENSAM'. The concrete functions/equipment are materially different; same buyer and broad digital/CPV similarity do not establish a renewal or relaunch.</x:v>
      </x:c>
      <x:c r="F70" s="6" t="str">
        <x:v>Official BOAMP records: source 25-76566 (INITIAL/APPEL_OFFRE, 2025-07-08); candidate 25-135765 (INITIAL/APPEL_OFFRE, 2025-12-11); gap 5.1248 months.</x:v>
      </x:c>
      <x:c r="G70" s="6" t="str">
        <x:v>https://www.boamp.fr/pages/avis/?q=idweb:25-76566
https://www.boamp.fr/pages/avis/?q=idweb:25-135765</x:v>
      </x:c>
      <x:c r="H70" s="6" t="str">
        <x:v>Buyer agreement, CPV proximity or generic wording may have increased the algorithm score, but these signals are not specific enough.</x:v>
      </x:c>
      <x:c r="I70" s="6" t="str"/>
      <x:c r="J70" s="6" t="str"/>
      <x:c r="K70" s="6" t="str"/>
      <x:c r="L70" s="6" t="str">
        <x:v>Internship guide linkage definition; official BOAMP record fields; same-buyer later-notice search; secondary public procurement source where noted.</x:v>
      </x:c>
      <x:c r="M70" s="6" t="str">
        <x:v>25-113007</x:v>
      </x:c>
      <x:c r="N70" s="6" t="str">
        <x:v>COMPOSITE</x:v>
      </x:c>
      <x:c r="O70" s="6" t="str">
        <x:v>WRONG_LINK</x:v>
      </x:c>
      <x:c r="P70" s="6" t="str">
        <x:v>HIGH</x:v>
      </x:c>
      <x:c r="Q70" s="6" t="str">
        <x:v>Composite candidate 25-113007 concerns psychometric questionnaires and indicators, not CAPLAB equipment and software.</x:v>
      </x:c>
      <x:c r="R70" s="6" t="str">
        <x:v>https://www.boamp.fr/pages/avis/?q=idweb:25-113007</x:v>
      </x:c>
    </x:row>
    <x:row r="71" ht="72" customHeight="1">
      <x:c r="A71" s="6" t="str">
        <x:v>AUDIT-070</x:v>
      </x:c>
      <x:c r="B71" s="6" t="str">
        <x:v>15-169809 -&gt; 15-182957</x:v>
      </x:c>
      <x:c r="C71" s="6" t="str">
        <x:v>WRONG_LINK</x:v>
      </x:c>
      <x:c r="D71" s="6" t="str">
        <x:v>HIGH</x:v>
      </x:c>
      <x:c r="E71" s="6" t="str">
        <x:v>The candidate is an official RECTIFICATIF linked to the source radiopharmacy notice, not a new procurement or renewal.</x:v>
      </x:c>
      <x:c r="F71" s="6" t="str">
        <x:v>Official BOAMP records: source 15-169809 (INITIAL/APPEL_OFFRE, 2015-11-09); candidate 15-182957 (RECTIFICATIF/APPEL_OFFRE, 2015-12-04); gap 0.8212 months.</x:v>
      </x:c>
      <x:c r="G71" s="6" t="str">
        <x:v>https://www.boamp.fr/pages/avis/?q=idweb:15-169809
https://www.boamp.fr/pages/avis/?q=idweb:15-182957</x:v>
      </x:c>
      <x:c r="H71" s="6" t="str">
        <x:v>Buyer agreement, CPV proximity or generic wording may have increased the algorithm score, but these signals are not specific enough.</x:v>
      </x:c>
      <x:c r="I71" s="6" t="str"/>
      <x:c r="J71" s="6" t="str"/>
      <x:c r="K71" s="6" t="str"/>
      <x:c r="L71" s="6" t="str">
        <x:v>Internship guide linkage definition; official BOAMP record fields; same-buyer later-notice search; secondary public procurement source where noted.</x:v>
      </x:c>
      <x:c r="M71" s="6" t="str"/>
      <x:c r="N71" s="6" t="str"/>
      <x:c r="O71" s="6" t="str"/>
      <x:c r="P71" s="6" t="str"/>
      <x:c r="Q71" s="6" t="str"/>
      <x:c r="R71" s="6" t="str"/>
    </x:row>
    <x:row r="72" ht="72" customHeight="1">
      <x:c r="A72" s="6" t="str">
        <x:v>AUDIT-071</x:v>
      </x:c>
      <x:c r="B72" s="6" t="str">
        <x:v>20-135543 -&gt; 21-143328</x:v>
      </x:c>
      <x:c r="C72" s="6" t="str">
        <x:v>WRONG_LINK</x:v>
      </x:c>
      <x:c r="D72" s="6" t="str">
        <x:v>HIGH</x:v>
      </x:c>
      <x:c r="E72" s="6" t="str">
        <x:v>The source is 'Informatisation de la gestion de formulaires réglementaires pour les DT-DICT-ATU' while the candidate is 'Prestations de mise à disposition avec hébergement d'une plateforme de dématérialisation des procédures de passation et exécution des …'. The concrete functions/equipment are materially different; same buyer and broad digital/CPV similarity do not establish a renewal or relaunch.</x:v>
      </x:c>
      <x:c r="F72" s="6" t="str">
        <x:v>Official BOAMP records: source 20-135543 (INITIAL/APPEL_OFFRE, 2020-11-04); candidate 21-143328 (INITIAL/APPEL_OFFRE, 2021-10-25); gap 11.662 months.</x:v>
      </x:c>
      <x:c r="G72" s="6" t="str">
        <x:v>https://www.boamp.fr/pages/avis/?q=idweb:20-135543
https://www.boamp.fr/pages/avis/?q=idweb:21-143328</x:v>
      </x:c>
      <x:c r="H72" s="6" t="str">
        <x:v>Buyer agreement, CPV proximity or generic wording may have increased the algorithm score, but these signals are not specific enough.</x:v>
      </x:c>
      <x:c r="I72" s="6" t="str"/>
      <x:c r="J72" s="6" t="str"/>
      <x:c r="K72" s="6" t="str"/>
      <x:c r="L72" s="6" t="str">
        <x:v>Internship guide linkage definition; official BOAMP record fields; same-buyer later-notice search; secondary public procurement source where noted.</x:v>
      </x:c>
      <x:c r="M72" s="6" t="str"/>
      <x:c r="N72" s="6" t="str"/>
      <x:c r="O72" s="6" t="str"/>
      <x:c r="P72" s="6" t="str"/>
      <x:c r="Q72" s="6" t="str"/>
      <x:c r="R72" s="6" t="str"/>
    </x:row>
    <x:row r="73" ht="72" customHeight="1">
      <x:c r="A73" s="6" t="str">
        <x:v>AUDIT-072</x:v>
      </x:c>
      <x:c r="B73" s="6" t="str">
        <x:v>22-171933 -&gt; 24-43365</x:v>
      </x:c>
      <x:c r="C73" s="6" t="str">
        <x:v>CORRECT_LINK</x:v>
      </x:c>
      <x:c r="D73" s="6" t="str">
        <x:v>MEDIUM</x:v>
      </x:c>
      <x:c r="E73" s="6" t="str">
        <x:v>The later SETRAM notice repeats two source lots exactly: the bus air-conditioning service station and the extraction/sander/planer system. It is a credible reprocurement of those needs within a broader technical-equipment notice.</x:v>
      </x:c>
      <x:c r="F73" s="6" t="str">
        <x:v>Official BOAMP records: source 22-171933 (INITIAL/APPEL_OFFRE, 2023-01-01); candidate 24-43365 (INITIAL/APPEL_OFFRE, 2024-04-14); gap 15.407 months.</x:v>
      </x:c>
      <x:c r="G73" s="6" t="str">
        <x:v>https://www.boamp.fr/pages/avis/?q=idweb:22-171933
https://www.boamp.fr/pages/avis/?q=idweb:24-43365</x:v>
      </x:c>
      <x:c r="H73" s="6" t="str">
        <x:v>No explicit direct BOAMP notice link was available.</x:v>
      </x:c>
      <x:c r="I73" s="6" t="str"/>
      <x:c r="J73" s="6" t="str"/>
      <x:c r="K73" s="6" t="str"/>
      <x:c r="L73" s="6" t="str">
        <x:v>Internship guide linkage definition; official BOAMP record fields; same-buyer later-notice search; secondary public procurement source where noted.</x:v>
      </x:c>
      <x:c r="M73" s="6" t="str"/>
      <x:c r="N73" s="6" t="str"/>
      <x:c r="O73" s="6" t="str"/>
      <x:c r="P73" s="6" t="str"/>
      <x:c r="Q73" s="6" t="str"/>
      <x:c r="R73" s="6" t="str"/>
    </x:row>
    <x:row r="74" ht="72" customHeight="1">
      <x:c r="A74" s="6" t="str">
        <x:v>AUDIT-073</x:v>
      </x:c>
      <x:c r="B74" s="6" t="str">
        <x:v>19-176963 -&gt; 20-66280</x:v>
      </x:c>
      <x:c r="C74" s="6" t="str">
        <x:v>WRONG_LINK</x:v>
      </x:c>
      <x:c r="D74" s="6" t="str">
        <x:v>MEDIUM</x:v>
      </x:c>
      <x:c r="E74" s="6" t="str">
        <x:v>The source is 'Prestations d'assistance au développement sous typo 3, et maintenance web et prestations complémentaires' while the candidate is 'acquisition, mise en place et maintenance d'une solution logicielle de gestion de relation clientèle'. The concrete functions/equipment are materially different; same buyer and broad digital/CPV similarity do not establish a renewal or relaunch.</x:v>
      </x:c>
      <x:c r="F74" s="6" t="str">
        <x:v>Official BOAMP records: source 19-176963 (INITIAL/APPEL_OFFRE, 2020-01-06); candidate 20-66280 (INITIAL/APPEL_OFFRE, 2020-05-28); gap 4.6977 months.</x:v>
      </x:c>
      <x:c r="G74" s="6" t="str">
        <x:v>https://www.boamp.fr/pages/avis/?q=idweb:19-176963
https://www.boamp.fr/pages/avis/?q=idweb:20-66280</x:v>
      </x:c>
      <x:c r="H74" s="6" t="str">
        <x:v>Buyer agreement, CPV proximity or generic wording may have increased the algorithm score, but these signals are not specific enough.</x:v>
      </x:c>
      <x:c r="I74" s="6" t="str"/>
      <x:c r="J74" s="6" t="str"/>
      <x:c r="K74" s="6" t="str"/>
      <x:c r="L74" s="6" t="str">
        <x:v>Internship guide linkage definition; official BOAMP record fields; same-buyer later-notice search; secondary public procurement source where noted.</x:v>
      </x:c>
      <x:c r="M74" s="6" t="str"/>
      <x:c r="N74" s="6" t="str"/>
      <x:c r="O74" s="6" t="str"/>
      <x:c r="P74" s="6" t="str"/>
      <x:c r="Q74" s="6" t="str"/>
      <x:c r="R74" s="6" t="str"/>
    </x:row>
    <x:row r="75" ht="72" customHeight="1">
      <x:c r="A75" s="6" t="str">
        <x:v>AUDIT-074</x:v>
      </x:c>
      <x:c r="B75" s="6" t="str">
        <x:v>15-173090 -&gt; 16-70203</x:v>
      </x:c>
      <x:c r="C75" s="6" t="str">
        <x:v>WRONG_LINK</x:v>
      </x:c>
      <x:c r="D75" s="6" t="str">
        <x:v>MEDIUM</x:v>
      </x:c>
      <x:c r="E75" s="6" t="str">
        <x:v>The source is 'assistance à maîtrise d'ouvrage pour l'accompagnement dans le montage d'un projet i-site du programme investissement d'avenir 2 (pia 2…' while the candidate is 'Accord cadre pour l'assistance méthodologique d'accompagnement du changement'. The concrete functions/equipment are materially different; same buyer and broad digital/CPV similarity do not establish a renewal or relaunch.</x:v>
      </x:c>
      <x:c r="F75" s="6" t="str">
        <x:v>Official BOAMP records: source 15-173090 (INITIAL/APPEL_OFFRE, 2015-11-16); candidate 16-70203 (INITIAL/APPEL_OFFRE, 2016-05-17); gap 6.0118 months.</x:v>
      </x:c>
      <x:c r="G75" s="6" t="str">
        <x:v>https://www.boamp.fr/pages/avis/?q=idweb:15-173090
https://www.boamp.fr/pages/avis/?q=idweb:16-70203</x:v>
      </x:c>
      <x:c r="H75" s="6" t="str">
        <x:v>Buyer agreement, CPV proximity or generic wording may have increased the algorithm score, but these signals are not specific enough.</x:v>
      </x:c>
      <x:c r="I75" s="6" t="str"/>
      <x:c r="J75" s="6" t="str"/>
      <x:c r="K75" s="6" t="str"/>
      <x:c r="L75" s="6" t="str">
        <x:v>Internship guide linkage definition; official BOAMP record fields; same-buyer later-notice search; secondary public procurement source where noted.</x:v>
      </x:c>
      <x:c r="M75" s="6" t="str"/>
      <x:c r="N75" s="6" t="str"/>
      <x:c r="O75" s="6" t="str"/>
      <x:c r="P75" s="6" t="str"/>
      <x:c r="Q75" s="6" t="str"/>
      <x:c r="R75" s="6" t="str"/>
    </x:row>
    <x:row r="76" ht="72" customHeight="1">
      <x:c r="A76" s="6" t="str">
        <x:v>AUDIT-075</x:v>
      </x:c>
      <x:c r="B76" s="6" t="str">
        <x:v>24-81192 -&gt; 24-82336</x:v>
      </x:c>
      <x:c r="C76" s="6" t="str">
        <x:v>CORRECT_REJECTION</x:v>
      </x:c>
      <x:c r="D76" s="6" t="str">
        <x:v>MEDIUM</x:v>
      </x:c>
      <x:c r="E76" s="6" t="str">
        <x:v>The rejected candidate concerns Vendée Globe telecom/network infrastructure, not drifting-ice monitoring. The same-buyer later-notice search found no plausible ice-monitoring successor.</x:v>
      </x:c>
      <x:c r="F76" s="6" t="str">
        <x:v>Official BOAMP records: source 24-81192 (INITIAL/APPEL_OFFRE, 2024-07-12); candidate 24-82336 (INITIAL/APPEL_OFFRE, 2024-07-14); gap 0.0657 months.</x:v>
      </x:c>
      <x:c r="G76" s="6" t="str">
        <x:v>https://www.boamp.fr/pages/avis/?q=idweb:24-81192
https://www.boamp.fr/pages/avis/?q=idweb:24-82336</x:v>
      </x:c>
      <x:c r="H76" s="6" t="str">
        <x:v>Absence of a discovered successor is operational evidence only; it does not prove that the need was never renewed outside the observed BOAMP records.</x:v>
      </x:c>
      <x:c r="I76" s="6" t="str"/>
      <x:c r="J76" s="6" t="str"/>
      <x:c r="K76" s="6" t="str"/>
      <x:c r="L76" s="6" t="str">
        <x:v>Internship guide linkage definition; official BOAMP record fields; same-buyer later-notice search; secondary public procurement source where noted.</x:v>
      </x:c>
      <x:c r="M76" s="6" t="str"/>
      <x:c r="N76" s="6" t="str"/>
      <x:c r="O76" s="6" t="str"/>
      <x:c r="P76" s="6" t="str"/>
      <x:c r="Q76" s="6" t="str"/>
      <x:c r="R76" s="6" t="str"/>
    </x:row>
    <x:row r="77" ht="72" customHeight="1">
      <x:c r="A77" s="6" t="str">
        <x:v>AUDIT-076</x:v>
      </x:c>
      <x:c r="B77" s="6" t="str">
        <x:v>18-178358 -&gt; 19-147471</x:v>
      </x:c>
      <x:c r="C77" s="6" t="str">
        <x:v>CORRECT_REJECTION</x:v>
      </x:c>
      <x:c r="D77" s="6" t="str">
        <x:v>MEDIUM</x:v>
      </x:c>
      <x:c r="E77" s="6" t="str">
        <x:v>The rejected candidate is Centreon software maintenance, not a plasma-cutting machine. Later same-buyer machine procurements concern different equipment, so no plausible successor was identified.</x:v>
      </x:c>
      <x:c r="F77" s="6" t="str">
        <x:v>Official BOAMP records: source 18-178358 (INITIAL/APPEL_OFFRE, 2018-12-20); candidate 19-147471 (INITIAL/APPEL_OFFRE, 2019-09-30); gap 9.3298 months.</x:v>
      </x:c>
      <x:c r="G77" s="6" t="str">
        <x:v>https://www.boamp.fr/pages/avis/?q=idweb:18-178358
https://www.boamp.fr/pages/avis/?q=idweb:19-147471</x:v>
      </x:c>
      <x:c r="H77" s="6" t="str">
        <x:v>Absence of a discovered successor is operational evidence only; it does not prove that the need was never renewed outside the observed BOAMP records.</x:v>
      </x:c>
      <x:c r="I77" s="6" t="str"/>
      <x:c r="J77" s="6" t="str"/>
      <x:c r="K77" s="6" t="str"/>
      <x:c r="L77" s="6" t="str">
        <x:v>Internship guide linkage definition; official BOAMP record fields; same-buyer later-notice search; secondary public procurement source where noted.</x:v>
      </x:c>
      <x:c r="M77" s="6" t="str"/>
      <x:c r="N77" s="6" t="str"/>
      <x:c r="O77" s="6" t="str"/>
      <x:c r="P77" s="6" t="str"/>
      <x:c r="Q77" s="6" t="str"/>
      <x:c r="R77" s="6" t="str"/>
    </x:row>
    <x:row r="78" ht="72" customHeight="1">
      <x:c r="A78" s="6" t="str">
        <x:v>AUDIT-077</x:v>
      </x:c>
      <x:c r="B78" s="6" t="str">
        <x:v>17-71407 -&gt; 19-59985</x:v>
      </x:c>
      <x:c r="C78" s="6" t="str">
        <x:v>CORRECT_REJECTION</x:v>
      </x:c>
      <x:c r="D78" s="6" t="str">
        <x:v>MEDIUM</x:v>
      </x:c>
      <x:c r="E78" s="6" t="str">
        <x:v>The rejected candidate is time-management software. A later hypervision notice concerns the separate new Nantes hospital project rather than renewal of the source building system; no clear successor was identified.</x:v>
      </x:c>
      <x:c r="F78" s="6" t="str">
        <x:v>Official BOAMP records: source 17-71407 (INITIAL/APPEL_OFFRE, 2017-05-24); candidate 19-59985 (INITIAL/APPEL_OFFRE, 2019-04-17); gap 22.766 months.</x:v>
      </x:c>
      <x:c r="G78" s="6" t="str">
        <x:v>https://www.boamp.fr/pages/avis/?q=idweb:17-71407
https://www.boamp.fr/pages/avis/?q=idweb:19-59985</x:v>
      </x:c>
      <x:c r="H78" s="6" t="str">
        <x:v>Absence of a discovered successor is operational evidence only; it does not prove that the need was never renewed outside the observed BOAMP records.</x:v>
      </x:c>
      <x:c r="I78" s="6" t="str"/>
      <x:c r="J78" s="6" t="str"/>
      <x:c r="K78" s="6" t="str"/>
      <x:c r="L78" s="6" t="str">
        <x:v>Internship guide linkage definition; official BOAMP record fields; same-buyer later-notice search; secondary public procurement source where noted.</x:v>
      </x:c>
      <x:c r="M78" s="6" t="str"/>
      <x:c r="N78" s="6" t="str"/>
      <x:c r="O78" s="6" t="str"/>
      <x:c r="P78" s="6" t="str"/>
      <x:c r="Q78" s="6" t="str"/>
      <x:c r="R78" s="6" t="str"/>
    </x:row>
    <x:row r="79" ht="72" customHeight="1">
      <x:c r="A79" s="6" t="str">
        <x:v>AUDIT-078</x:v>
      </x:c>
      <x:c r="B79" s="6" t="str">
        <x:v>19-16942 -&gt; 19-158679</x:v>
      </x:c>
      <x:c r="C79" s="6" t="str">
        <x:v>CORRECT_REJECTION</x:v>
      </x:c>
      <x:c r="D79" s="6" t="str">
        <x:v>MEDIUM</x:v>
      </x:c>
      <x:c r="E79" s="6" t="str">
        <x:v>The rejected candidate is social-clause management software, not Jules Verne press monitoring. Later same-buyer notices did not reveal a plausible continuation of that monitoring need.</x:v>
      </x:c>
      <x:c r="F79" s="6" t="str">
        <x:v>Official BOAMP records: source 19-16942 (INITIAL/APPEL_OFFRE, 2019-02-03); candidate 19-158679 (INITIAL/APPEL_OFFRE, 2019-10-18); gap 8.4428 months.</x:v>
      </x:c>
      <x:c r="G79" s="6" t="str">
        <x:v>https://www.boamp.fr/pages/avis/?q=idweb:19-16942
https://www.boamp.fr/pages/avis/?q=idweb:19-158679</x:v>
      </x:c>
      <x:c r="H79" s="6" t="str">
        <x:v>Absence of a discovered successor is operational evidence only; it does not prove that the need was never renewed outside the observed BOAMP records.</x:v>
      </x:c>
      <x:c r="I79" s="6" t="str"/>
      <x:c r="J79" s="6" t="str"/>
      <x:c r="K79" s="6" t="str"/>
      <x:c r="L79" s="6" t="str">
        <x:v>Internship guide linkage definition; official BOAMP record fields; same-buyer later-notice search; secondary public procurement source where noted.</x:v>
      </x:c>
      <x:c r="M79" s="6" t="str"/>
      <x:c r="N79" s="6" t="str"/>
      <x:c r="O79" s="6" t="str"/>
      <x:c r="P79" s="6" t="str"/>
      <x:c r="Q79" s="6" t="str"/>
      <x:c r="R79" s="6" t="str"/>
    </x:row>
    <x:row r="80" ht="72" customHeight="1">
      <x:c r="A80" s="6" t="str">
        <x:v>AUDIT-079</x:v>
      </x:c>
      <x:c r="B80" s="6" t="str">
        <x:v>22-139769 -&gt; 23-66268</x:v>
      </x:c>
      <x:c r="C80" s="6" t="str">
        <x:v>CORRECT_REJECTION</x:v>
      </x:c>
      <x:c r="D80" s="6" t="str">
        <x:v>MEDIUM</x:v>
      </x:c>
      <x:c r="E80" s="6" t="str">
        <x:v>The rejected candidate is video protection, not telephony-system renewal. The small same-buyer search set contained no plausible telephony successor.</x:v>
      </x:c>
      <x:c r="F80" s="6" t="str">
        <x:v>Official BOAMP records: source 22-139769 (INITIAL/APPEL_OFFRE, 2022-10-18); candidate 23-66268 (INITIAL/APPEL_OFFRE, 2023-05-17); gap 6.9316 months.</x:v>
      </x:c>
      <x:c r="G80" s="6" t="str">
        <x:v>https://www.boamp.fr/pages/avis/?q=idweb:22-139769
https://www.boamp.fr/pages/avis/?q=idweb:23-66268</x:v>
      </x:c>
      <x:c r="H80" s="6" t="str">
        <x:v>Absence of a discovered successor is operational evidence only; it does not prove that the need was never renewed outside the observed BOAMP records.</x:v>
      </x:c>
      <x:c r="I80" s="6" t="str"/>
      <x:c r="J80" s="6" t="str"/>
      <x:c r="K80" s="6" t="str"/>
      <x:c r="L80" s="6" t="str">
        <x:v>Internship guide linkage definition; official BOAMP record fields; same-buyer later-notice search; secondary public procurement source where noted.</x:v>
      </x:c>
      <x:c r="M80" s="6" t="str"/>
      <x:c r="N80" s="6" t="str"/>
      <x:c r="O80" s="6" t="str"/>
      <x:c r="P80" s="6" t="str"/>
      <x:c r="Q80" s="6" t="str"/>
      <x:c r="R80" s="6" t="str"/>
    </x:row>
    <x:row r="81" ht="72" customHeight="1">
      <x:c r="A81" s="6" t="str">
        <x:v>AUDIT-080</x:v>
      </x:c>
      <x:c r="B81" s="6" t="str">
        <x:v>16-1046 -&gt; 16-93714</x:v>
      </x:c>
      <x:c r="C81" s="6" t="str">
        <x:v>CORRECT_REJECTION</x:v>
      </x:c>
      <x:c r="D81" s="6" t="str">
        <x:v>MEDIUM</x:v>
      </x:c>
      <x:c r="E81" s="6" t="str">
        <x:v>The rejected candidate is ADEME IT infrastructure, not the SaaS colloquium-management solution. No plausible same-buyer successor was found.</x:v>
      </x:c>
      <x:c r="F81" s="6" t="str">
        <x:v>Official BOAMP records: source 16-1046 (INITIAL/APPEL_OFFRE, 2016-01-18); candidate 16-93714 (INITIAL/APPEL_OFFRE, 2016-07-02); gap 5.4533 months.</x:v>
      </x:c>
      <x:c r="G81" s="6" t="str">
        <x:v>https://www.boamp.fr/pages/avis/?q=idweb:16-1046
https://www.boamp.fr/pages/avis/?q=idweb:16-93714</x:v>
      </x:c>
      <x:c r="H81" s="6" t="str">
        <x:v>Absence of a discovered successor is operational evidence only; it does not prove that the need was never renewed outside the observed BOAMP records.</x:v>
      </x:c>
      <x:c r="I81" s="6" t="str"/>
      <x:c r="J81" s="6" t="str"/>
      <x:c r="K81" s="6" t="str"/>
      <x:c r="L81" s="6" t="str">
        <x:v>Internship guide linkage definition; official BOAMP record fields; same-buyer later-notice search; secondary public procurement source where noted.</x:v>
      </x:c>
      <x:c r="M81" s="6" t="str"/>
      <x:c r="N81" s="6" t="str"/>
      <x:c r="O81" s="6" t="str"/>
      <x:c r="P81" s="6" t="str"/>
      <x:c r="Q81" s="6" t="str"/>
      <x:c r="R81" s="6" t="str"/>
    </x:row>
    <x:row r="82" ht="72" customHeight="1">
      <x:c r="A82" s="6" t="str">
        <x:v>AUDIT-081</x:v>
      </x:c>
      <x:c r="B82" s="6" t="str">
        <x:v>19-90783 -&gt; 20-16042</x:v>
      </x:c>
      <x:c r="C82" s="6" t="str">
        <x:v>CORRECT_REJECTION</x:v>
      </x:c>
      <x:c r="D82" s="6" t="str">
        <x:v>MEDIUM</x:v>
      </x:c>
      <x:c r="E82" s="6" t="str">
        <x:v>The rejected candidate is broad digital-transformation assistance, not AMO for acquiring road/building project-management software. No clear later successor was found.</x:v>
      </x:c>
      <x:c r="F82" s="6" t="str">
        <x:v>Official BOAMP records: source 19-90783 (INITIAL/APPEL_OFFRE, 2019-06-13); candidate 20-16042 (INITIAL/APPEL_OFFRE, 2020-01-31); gap 7.6215 months.</x:v>
      </x:c>
      <x:c r="G82" s="6" t="str">
        <x:v>https://www.boamp.fr/pages/avis/?q=idweb:19-90783
https://www.boamp.fr/pages/avis/?q=idweb:20-16042</x:v>
      </x:c>
      <x:c r="H82" s="6" t="str">
        <x:v>Absence of a discovered successor is operational evidence only; it does not prove that the need was never renewed outside the observed BOAMP records.</x:v>
      </x:c>
      <x:c r="I82" s="6" t="str"/>
      <x:c r="J82" s="6" t="str"/>
      <x:c r="K82" s="6" t="str"/>
      <x:c r="L82" s="6" t="str">
        <x:v>Internship guide linkage definition; official BOAMP record fields; same-buyer later-notice search; secondary public procurement source where noted.</x:v>
      </x:c>
      <x:c r="M82" s="6" t="str"/>
      <x:c r="N82" s="6" t="str"/>
      <x:c r="O82" s="6" t="str"/>
      <x:c r="P82" s="6" t="str"/>
      <x:c r="Q82" s="6" t="str"/>
      <x:c r="R82" s="6" t="str"/>
    </x:row>
    <x:row r="83" ht="72" customHeight="1">
      <x:c r="A83" s="6" t="str">
        <x:v>AUDIT-082</x:v>
      </x:c>
      <x:c r="B83" s="6" t="str">
        <x:v>15-115319 -&gt; 16-85619</x:v>
      </x:c>
      <x:c r="C83" s="6" t="str">
        <x:v>CORRECT_REJECTION</x:v>
      </x:c>
      <x:c r="D83" s="6" t="str">
        <x:v>MEDIUM</x:v>
      </x:c>
      <x:c r="E83" s="6" t="str">
        <x:v>The rejected candidate is school PBX maintenance, not IT equipment for elected representatives. No same-buyer notice with the same beneficiary and equipment scope was found.</x:v>
      </x:c>
      <x:c r="F83" s="6" t="str">
        <x:v>Official BOAMP records: source 15-115319 (INITIAL/APPEL_OFFRE, 2015-07-27); candidate 16-85619 (INITIAL/APPEL_OFFRE, 2016-06-13); gap 10.578 months.</x:v>
      </x:c>
      <x:c r="G83" s="6" t="str">
        <x:v>https://www.boamp.fr/pages/avis/?q=idweb:15-115319
https://www.boamp.fr/pages/avis/?q=idweb:16-85619</x:v>
      </x:c>
      <x:c r="H83" s="6" t="str">
        <x:v>Absence of a discovered successor is operational evidence only; it does not prove that the need was never renewed outside the observed BOAMP records.</x:v>
      </x:c>
      <x:c r="I83" s="6" t="str"/>
      <x:c r="J83" s="6" t="str"/>
      <x:c r="K83" s="6" t="str"/>
      <x:c r="L83" s="6" t="str">
        <x:v>Internship guide linkage definition; official BOAMP record fields; same-buyer later-notice search; secondary public procurement source where noted.</x:v>
      </x:c>
      <x:c r="M83" s="6" t="str"/>
      <x:c r="N83" s="6" t="str"/>
      <x:c r="O83" s="6" t="str"/>
      <x:c r="P83" s="6" t="str"/>
      <x:c r="Q83" s="6" t="str"/>
      <x:c r="R83" s="6" t="str"/>
    </x:row>
    <x:row r="84" ht="72" customHeight="1">
      <x:c r="A84" s="6" t="str">
        <x:v>AUDIT-083</x:v>
      </x:c>
      <x:c r="B84" s="6" t="str">
        <x:v>16-96174 -&gt; 17-56452</x:v>
      </x:c>
      <x:c r="C84" s="6" t="str">
        <x:v>CORRECT_REJECTION</x:v>
      </x:c>
      <x:c r="D84" s="6" t="str">
        <x:v>MEDIUM</x:v>
      </x:c>
      <x:c r="E84" s="6" t="str">
        <x:v>The source is a Wi-Fi and mobile-device-management framework for schools; the rejected candidate is printing equipment. The later workstation-supply notice is also a different equipment need, so rejection is supported.</x:v>
      </x:c>
      <x:c r="F84" s="6" t="str">
        <x:v>Official BOAMP records: source 16-96174 (INITIAL/APPEL_OFFRE, 2016-06-30); candidate 17-56452 (INITIAL/APPEL_OFFRE, 2017-04-23); gap 9.7568 months.</x:v>
      </x:c>
      <x:c r="G84" s="6" t="str">
        <x:v>https://www.boamp.fr/pages/avis/?q=idweb:16-96174
https://www.boamp.fr/pages/avis/?q=idweb:17-56452</x:v>
      </x:c>
      <x:c r="H84" s="6" t="str">
        <x:v>Absence of a discovered successor is operational evidence only; it does not prove that the need was never renewed outside the observed BOAMP records.</x:v>
      </x:c>
      <x:c r="I84" s="6" t="str"/>
      <x:c r="J84" s="6" t="str"/>
      <x:c r="K84" s="6" t="str"/>
      <x:c r="L84" s="6" t="str">
        <x:v>Internship guide linkage definition; official BOAMP record fields; same-buyer later-notice search; secondary public procurement source where noted.</x:v>
      </x:c>
      <x:c r="M84" s="6" t="str"/>
      <x:c r="N84" s="6" t="str"/>
      <x:c r="O84" s="6" t="str"/>
      <x:c r="P84" s="6" t="str"/>
      <x:c r="Q84" s="6" t="str"/>
      <x:c r="R84" s="6" t="str"/>
    </x:row>
    <x:row r="85" ht="72" customHeight="1">
      <x:c r="A85" s="6" t="str">
        <x:v>AUDIT-084</x:v>
      </x:c>
      <x:c r="B85" s="6" t="str">
        <x:v>18-142763 -&gt; 19-8964</x:v>
      </x:c>
      <x:c r="C85" s="6" t="str">
        <x:v>CORRECT_REJECTION</x:v>
      </x:c>
      <x:c r="D85" s="6" t="str">
        <x:v>MEDIUM</x:v>
      </x:c>
      <x:c r="E85" s="6" t="str">
        <x:v>The source is a rectificatif for information-security policy support; the candidate concerns a decision-support information system. The pair is not a successor link, and the source rectificatif should be excluded from the survival base.</x:v>
      </x:c>
      <x:c r="F85" s="6" t="str">
        <x:v>Official BOAMP records: source 18-142763 (RECTIFICATIF/APPEL_OFFRE, 2018-10-11); candidate 19-8964 (INITIAL/APPEL_OFFRE, 2019-01-17); gap 3.2194 months.</x:v>
      </x:c>
      <x:c r="G85" s="6" t="str">
        <x:v>https://www.boamp.fr/pages/avis/?q=idweb:18-142763
https://www.boamp.fr/pages/avis/?q=idweb:19-8964</x:v>
      </x:c>
      <x:c r="H85" s="6" t="str">
        <x:v>Absence of a discovered successor is operational evidence only; it does not prove that the need was never renewed outside the observed BOAMP records.</x:v>
      </x:c>
      <x:c r="I85" s="6" t="str"/>
      <x:c r="J85" s="6" t="str"/>
      <x:c r="K85" s="6" t="str"/>
      <x:c r="L85" s="6" t="str">
        <x:v>Internship guide linkage definition; official BOAMP record fields; same-buyer later-notice search; secondary public procurement source where noted.</x:v>
      </x:c>
      <x:c r="M85" s="6" t="str"/>
      <x:c r="N85" s="6" t="str"/>
      <x:c r="O85" s="6" t="str"/>
      <x:c r="P85" s="6" t="str"/>
      <x:c r="Q85" s="6" t="str"/>
      <x:c r="R85" s="6" t="str"/>
    </x:row>
    <x:row r="86" ht="72" customHeight="1">
      <x:c r="A86" s="6" t="str">
        <x:v>AUDIT-085</x:v>
      </x:c>
      <x:c r="B86" s="6" t="str">
        <x:v>23-42778 -&gt; 23-65504</x:v>
      </x:c>
      <x:c r="C86" s="6" t="str">
        <x:v>CORRECT_REJECTION</x:v>
      </x:c>
      <x:c r="D86" s="6" t="str">
        <x:v>MEDIUM</x:v>
      </x:c>
      <x:c r="E86" s="6" t="str">
        <x:v>The rejected candidate is hospital hypervision, not a cellular-therapy activity-management system. No later same-buyer notice matched the UTCG software need.</x:v>
      </x:c>
      <x:c r="F86" s="6" t="str">
        <x:v>Official BOAMP records: source 23-42778 (INITIAL/APPEL_OFFRE, 2023-04-01); candidate 23-65504 (INITIAL/APPEL_OFFRE, 2023-05-14); gap 1.4126 months.</x:v>
      </x:c>
      <x:c r="G86" s="6" t="str">
        <x:v>https://www.boamp.fr/pages/avis/?q=idweb:23-42778
https://www.boamp.fr/pages/avis/?q=idweb:23-65504</x:v>
      </x:c>
      <x:c r="H86" s="6" t="str">
        <x:v>Absence of a discovered successor is operational evidence only; it does not prove that the need was never renewed outside the observed BOAMP records.</x:v>
      </x:c>
      <x:c r="I86" s="6" t="str"/>
      <x:c r="J86" s="6" t="str"/>
      <x:c r="K86" s="6" t="str"/>
      <x:c r="L86" s="6" t="str">
        <x:v>Internship guide linkage definition; official BOAMP record fields; same-buyer later-notice search; secondary public procurement source where noted.</x:v>
      </x:c>
      <x:c r="M86" s="6" t="str"/>
      <x:c r="N86" s="6" t="str"/>
      <x:c r="O86" s="6" t="str"/>
      <x:c r="P86" s="6" t="str"/>
      <x:c r="Q86" s="6" t="str"/>
      <x:c r="R86" s="6" t="str"/>
    </x:row>
    <x:row r="87" ht="72" customHeight="1">
      <x:c r="A87" s="6" t="str">
        <x:v>AUDIT-086</x:v>
      </x:c>
      <x:c r="B87" s="6" t="str">
        <x:v>21-24367 -&gt; 22-94408</x:v>
      </x:c>
      <x:c r="C87" s="6" t="str">
        <x:v>CORRECT_REJECTION</x:v>
      </x:c>
      <x:c r="D87" s="6" t="str">
        <x:v>MEDIUM</x:v>
      </x:c>
      <x:c r="E87" s="6" t="str">
        <x:v>The rejected candidate is a DT-DICT request platform, not digital-school equipment. Later same-buyer notices did not show a plausible replacement for the school equipment procurement.</x:v>
      </x:c>
      <x:c r="F87" s="6" t="str">
        <x:v>Official BOAMP records: source 21-24367 (INITIAL/APPEL_OFFRE, 2021-02-24); candidate 22-94408 (INITIAL/APPEL_OFFRE, 2022-07-06); gap 16.327 months.</x:v>
      </x:c>
      <x:c r="G87" s="6" t="str">
        <x:v>https://www.boamp.fr/pages/avis/?q=idweb:21-24367
https://www.boamp.fr/pages/avis/?q=idweb:22-94408</x:v>
      </x:c>
      <x:c r="H87" s="6" t="str">
        <x:v>Absence of a discovered successor is operational evidence only; it does not prove that the need was never renewed outside the observed BOAMP records.</x:v>
      </x:c>
      <x:c r="I87" s="6" t="str"/>
      <x:c r="J87" s="6" t="str"/>
      <x:c r="K87" s="6" t="str"/>
      <x:c r="L87" s="6" t="str">
        <x:v>Internship guide linkage definition; official BOAMP record fields; same-buyer later-notice search; secondary public procurement source where noted.</x:v>
      </x:c>
      <x:c r="M87" s="6" t="str"/>
      <x:c r="N87" s="6" t="str"/>
      <x:c r="O87" s="6" t="str"/>
      <x:c r="P87" s="6" t="str"/>
      <x:c r="Q87" s="6" t="str"/>
      <x:c r="R87" s="6" t="str"/>
    </x:row>
    <x:row r="88" ht="72" customHeight="1">
      <x:c r="A88" s="6" t="str">
        <x:v>AUDIT-087</x:v>
      </x:c>
      <x:c r="B88" s="6" t="str">
        <x:v>25-73236 -&gt; 26-23402</x:v>
      </x:c>
      <x:c r="C88" s="6" t="str">
        <x:v>CORRECT_REJECTION</x:v>
      </x:c>
      <x:c r="D88" s="6" t="str">
        <x:v>MEDIUM</x:v>
      </x:c>
      <x:c r="E88" s="6" t="str">
        <x:v>The rejected candidate is maintenance of physical security installations, not project-evaluation/expertise support. The objects are materially different and no plausible successor was found.</x:v>
      </x:c>
      <x:c r="F88" s="6" t="str">
        <x:v>Official BOAMP records: source 25-73236 (INITIAL/APPEL_OFFRE, 2025-07-01); candidate 26-23402 (INITIAL/APPEL_OFFRE, 2026-03-08); gap 8.2128 months.</x:v>
      </x:c>
      <x:c r="G88" s="6" t="str">
        <x:v>https://www.boamp.fr/pages/avis/?q=idweb:25-73236
https://www.boamp.fr/pages/avis/?q=idweb:26-23402</x:v>
      </x:c>
      <x:c r="H88" s="6" t="str">
        <x:v>Absence of a discovered successor is operational evidence only; it does not prove that the need was never renewed outside the observed BOAMP records.</x:v>
      </x:c>
      <x:c r="I88" s="6" t="str"/>
      <x:c r="J88" s="6" t="str"/>
      <x:c r="K88" s="6" t="str"/>
      <x:c r="L88" s="6" t="str">
        <x:v>Internship guide linkage definition; official BOAMP record fields; same-buyer later-notice search; secondary public procurement source where noted.</x:v>
      </x:c>
      <x:c r="M88" s="6" t="str"/>
      <x:c r="N88" s="6" t="str"/>
      <x:c r="O88" s="6" t="str"/>
      <x:c r="P88" s="6" t="str"/>
      <x:c r="Q88" s="6" t="str"/>
      <x:c r="R88" s="6" t="str"/>
    </x:row>
    <x:row r="89" ht="72" customHeight="1">
      <x:c r="A89" s="6" t="str">
        <x:v>AUDIT-088</x:v>
      </x:c>
      <x:c r="B89" s="6" t="str">
        <x:v>17-135696 -&gt; 18-17886</x:v>
      </x:c>
      <x:c r="C89" s="6" t="str">
        <x:v>MISSED_LINK</x:v>
      </x:c>
      <x:c r="D89" s="6" t="str">
        <x:v>HIGH</x:v>
      </x:c>
      <x:c r="E89" s="6" t="str">
        <x:v>The reviewed candidate is unrelated Microsoft support, but BOAMP notice 20-144067 from the same buyer, about 38 months later, is explicitly for maintenance, supply and installation of the tourist webcam fleet. That matches the source three-year webcam need and is a plausible missed successor.</x:v>
      </x:c>
      <x:c r="F89" s="6" t="str">
        <x:v>Official BOAMP records: source 17-135696 (INITIAL/APPEL_OFFRE, 2017-09-26); candidate 18-17886 (INITIAL/APPEL_OFFRE, 2018-02-07); gap 4.4021 months. Plausible alternative: 20-144067 (Maintenance, fourniture et installation du parc de webcams touristiques du Département de la Vendée).</x:v>
      </x:c>
      <x:c r="G89" s="6" t="str">
        <x:v>https://www.boamp.fr/pages/avis/?q=idweb:17-135696
https://www.boamp.fr/pages/avis/?q=idweb:18-17886
https://www.boamp.fr/pages/avis/?q=idweb:20-144067</x:v>
      </x:c>
      <x:c r="H89" s="6" t="str">
        <x:v>The algorithm's blocking/threshold rules omitted a later notice with substantially stronger object evidence.</x:v>
      </x:c>
      <x:c r="I89" s="6" t="str">
        <x:v>20-144067</x:v>
      </x:c>
      <x:c r="J89" s="6" t="str">
        <x:v>Maintenance, fourniture et installation du parc de webcams touristiques du Département de la Vendée</x:v>
      </x:c>
      <x:c r="K89" s="6" t="str">
        <x:v>https://www.boamp.fr/pages/avis/?q=idweb:20-144067</x:v>
      </x:c>
      <x:c r="L89" s="6" t="str">
        <x:v>Internship guide linkage definition; official BOAMP record fields; same-buyer later-notice search; secondary public procurement source where noted.</x:v>
      </x:c>
      <x:c r="M89" s="6" t="str"/>
      <x:c r="N89" s="6" t="str"/>
      <x:c r="O89" s="6" t="str"/>
      <x:c r="P89" s="6" t="str"/>
      <x:c r="Q89" s="6" t="str"/>
      <x:c r="R89" s="6" t="str"/>
    </x:row>
    <x:row r="90" ht="72" customHeight="1">
      <x:c r="A90" s="6" t="str">
        <x:v>AUDIT-089</x:v>
      </x:c>
      <x:c r="B90" s="6" t="str">
        <x:v>21-152380 -&gt; 22-137807</x:v>
      </x:c>
      <x:c r="C90" s="6" t="str">
        <x:v>CORRECT_REJECTION</x:v>
      </x:c>
      <x:c r="D90" s="6" t="str">
        <x:v>MEDIUM</x:v>
      </x:c>
      <x:c r="E90" s="6" t="str">
        <x:v>The rejected candidate is a public-procurement dematerialisation platform, not office, messaging and collaboration software. Later same-buyer notices covered other software functions.</x:v>
      </x:c>
      <x:c r="F90" s="6" t="str">
        <x:v>Official BOAMP records: source 21-152380 (INITIAL/APPEL_OFFRE, 2021-11-17); candidate 22-137807 (INITIAL/APPEL_OFFRE, 2022-10-14); gap 10.873 months.</x:v>
      </x:c>
      <x:c r="G90" s="6" t="str">
        <x:v>https://www.boamp.fr/pages/avis/?q=idweb:21-152380
https://www.boamp.fr/pages/avis/?q=idweb:22-137807</x:v>
      </x:c>
      <x:c r="H90" s="6" t="str">
        <x:v>Absence of a discovered successor is operational evidence only; it does not prove that the need was never renewed outside the observed BOAMP records.</x:v>
      </x:c>
      <x:c r="I90" s="6" t="str"/>
      <x:c r="J90" s="6" t="str"/>
      <x:c r="K90" s="6" t="str"/>
      <x:c r="L90" s="6" t="str">
        <x:v>Internship guide linkage definition; official BOAMP record fields; same-buyer later-notice search; secondary public procurement source where noted.</x:v>
      </x:c>
      <x:c r="M90" s="6" t="str"/>
      <x:c r="N90" s="6" t="str"/>
      <x:c r="O90" s="6" t="str"/>
      <x:c r="P90" s="6" t="str"/>
      <x:c r="Q90" s="6" t="str"/>
      <x:c r="R90" s="6" t="str"/>
    </x:row>
    <x:row r="91" ht="72" customHeight="1">
      <x:c r="A91" s="6" t="str">
        <x:v>AUDIT-090</x:v>
      </x:c>
      <x:c r="B91" s="6" t="str">
        <x:v>23-23753 -&gt; 23-159290</x:v>
      </x:c>
      <x:c r="C91" s="6" t="str">
        <x:v>CORRECT_REJECTION</x:v>
      </x:c>
      <x:c r="D91" s="6" t="str">
        <x:v>MEDIUM</x:v>
      </x:c>
      <x:c r="E91" s="6" t="str">
        <x:v>The rejected candidate is outdoor signage, not construction and maintenance of a transport-demand model. No plausible same-buyer successor was found.</x:v>
      </x:c>
      <x:c r="F91" s="6" t="str">
        <x:v>Official BOAMP records: source 23-23753 (INITIAL/APPEL_OFFRE, 2023-03-08); candidate 23-159290 (INITIAL/APPEL_OFFRE, 2023-12-02); gap 8.8370 months.</x:v>
      </x:c>
      <x:c r="G91" s="6" t="str">
        <x:v>https://www.boamp.fr/pages/avis/?q=idweb:23-23753
https://www.boamp.fr/pages/avis/?q=idweb:23-159290</x:v>
      </x:c>
      <x:c r="H91" s="6" t="str">
        <x:v>Absence of a discovered successor is operational evidence only; it does not prove that the need was never renewed outside the observed BOAMP records.</x:v>
      </x:c>
      <x:c r="I91" s="6" t="str"/>
      <x:c r="J91" s="6" t="str"/>
      <x:c r="K91" s="6" t="str"/>
      <x:c r="L91" s="6" t="str">
        <x:v>Internship guide linkage definition; official BOAMP record fields; same-buyer later-notice search; secondary public procurement source where noted.</x:v>
      </x:c>
      <x:c r="M91" s="6" t="str"/>
      <x:c r="N91" s="6" t="str"/>
      <x:c r="O91" s="6" t="str"/>
      <x:c r="P91" s="6" t="str"/>
      <x:c r="Q91" s="6" t="str"/>
      <x:c r="R91" s="6" t="str"/>
    </x:row>
    <x:row r="92" ht="72" customHeight="1">
      <x:c r="A92" s="6" t="str">
        <x:v>AUDIT-091</x:v>
      </x:c>
      <x:c r="B92" s="6" t="str">
        <x:v>19-54285 -&gt; 20-77272</x:v>
      </x:c>
      <x:c r="C92" s="6" t="str">
        <x:v>CORRECT_REJECTION</x:v>
      </x:c>
      <x:c r="D92" s="6" t="str">
        <x:v>MEDIUM</x:v>
      </x:c>
      <x:c r="E92" s="6" t="str">
        <x:v>The rejected candidate is a CNC machining centre, not a material-jet printer/UV-laser surface instrument. Later notices concern different laboratory or printing equipment.</x:v>
      </x:c>
      <x:c r="F92" s="6" t="str">
        <x:v>Official BOAMP records: source 19-54285 (INITIAL/APPEL_OFFRE, 2019-04-06); candidate 20-77272 (INITIAL/APPEL_OFFRE, 2020-06-16); gap 14.356 months.</x:v>
      </x:c>
      <x:c r="G92" s="6" t="str">
        <x:v>https://www.boamp.fr/pages/avis/?q=idweb:19-54285
https://www.boamp.fr/pages/avis/?q=idweb:20-77272</x:v>
      </x:c>
      <x:c r="H92" s="6" t="str">
        <x:v>Absence of a discovered successor is operational evidence only; it does not prove that the need was never renewed outside the observed BOAMP records.</x:v>
      </x:c>
      <x:c r="I92" s="6" t="str"/>
      <x:c r="J92" s="6" t="str"/>
      <x:c r="K92" s="6" t="str"/>
      <x:c r="L92" s="6" t="str">
        <x:v>Internship guide linkage definition; official BOAMP record fields; same-buyer later-notice search; secondary public procurement source where noted.</x:v>
      </x:c>
      <x:c r="M92" s="6" t="str"/>
      <x:c r="N92" s="6" t="str"/>
      <x:c r="O92" s="6" t="str"/>
      <x:c r="P92" s="6" t="str"/>
      <x:c r="Q92" s="6" t="str"/>
      <x:c r="R92" s="6" t="str"/>
    </x:row>
    <x:row r="93" ht="72" customHeight="1">
      <x:c r="A93" s="6" t="str">
        <x:v>AUDIT-092</x:v>
      </x:c>
      <x:c r="B93" s="6" t="str">
        <x:v>18-103711 -&gt; 18-143391</x:v>
      </x:c>
      <x:c r="C93" s="6" t="str">
        <x:v>MISSED_LINK</x:v>
      </x:c>
      <x:c r="D93" s="6" t="str">
        <x:v>HIGH</x:v>
      </x:c>
      <x:c r="E93" s="6" t="str">
        <x:v>The reviewed candidate is training/consulting, but BOAMP notice 21-83144 from the same regional chamber is again for computer-equipment supply. It is a plausible successor to the 2018 computer-hardware notice and was missed by both rules.</x:v>
      </x:c>
      <x:c r="F93" s="6" t="str">
        <x:v>Official BOAMP records: source 18-103711 (INITIAL/APPEL_OFFRE, 2018-07-22); candidate 18-143391 (INITIAL/APPEL_OFFRE, 2018-10-14); gap 2.7595 months. Plausible alternative: 21-83144 (FOURNITURE DE MATERIELS INFORMATIQUES - CMA PDL).</x:v>
      </x:c>
      <x:c r="G93" s="6" t="str">
        <x:v>https://www.boamp.fr/pages/avis/?q=idweb:18-103711
https://www.boamp.fr/pages/avis/?q=idweb:18-143391
https://www.boamp.fr/pages/avis/?q=idweb:21-83144</x:v>
      </x:c>
      <x:c r="H93" s="6" t="str">
        <x:v>The algorithm's blocking/threshold rules omitted a later notice with substantially stronger object evidence.</x:v>
      </x:c>
      <x:c r="I93" s="6" t="str">
        <x:v>21-83144</x:v>
      </x:c>
      <x:c r="J93" s="6" t="str">
        <x:v>FOURNITURE DE MATERIELS INFORMATIQUES - CMA PDL</x:v>
      </x:c>
      <x:c r="K93" s="6" t="str">
        <x:v>https://www.boamp.fr/pages/avis/?q=idweb:21-83144</x:v>
      </x:c>
      <x:c r="L93" s="6" t="str">
        <x:v>Internship guide linkage definition; official BOAMP record fields; same-buyer later-notice search; secondary public procurement source where noted.</x:v>
      </x:c>
      <x:c r="M93" s="6" t="str"/>
      <x:c r="N93" s="6" t="str"/>
      <x:c r="O93" s="6" t="str"/>
      <x:c r="P93" s="6" t="str"/>
      <x:c r="Q93" s="6" t="str"/>
      <x:c r="R93" s="6" t="str"/>
    </x:row>
    <x:row r="94" ht="72" customHeight="1">
      <x:c r="A94" s="6" t="str">
        <x:v>AUDIT-093</x:v>
      </x:c>
      <x:c r="B94" s="6" t="str">
        <x:v>22-28144 -&gt; NO_CANDIDATE</x:v>
      </x:c>
      <x:c r="C94" s="6" t="str">
        <x:v>CORRECT_REJECTION</x:v>
      </x:c>
      <x:c r="D94" s="6" t="str">
        <x:v>MEDIUM</x:v>
      </x:c>
      <x:c r="E94" s="6" t="str">
        <x:v>No candidate was generated. A same-buyer search found tourism information and advertising procurements, but none matched the conversational-marketing platform closely enough to be a plausible successor.</x:v>
      </x:c>
      <x:c r="F94" s="6" t="str">
        <x:v>Official BOAMP records: source 22-28144 (INITIAL/APPEL_OFFRE, 2022-02-23); no algorithm candidate; later same-buyer BOAMP notices were searched through 2026-08-06.</x:v>
      </x:c>
      <x:c r="G94" s="6" t="str">
        <x:v>https://www.boamp.fr/pages/avis/?q=idweb:22-28144</x:v>
      </x:c>
      <x:c r="H94" s="6" t="str">
        <x:v>Absence of a discovered successor is operational evidence only; it does not prove that the need was never renewed outside the observed BOAMP records.</x:v>
      </x:c>
      <x:c r="I94" s="6" t="str"/>
      <x:c r="J94" s="6" t="str"/>
      <x:c r="K94" s="6" t="str"/>
      <x:c r="L94" s="6" t="str">
        <x:v>Internship guide linkage definition; official BOAMP record fields; same-buyer later-notice search; secondary public procurement source where noted.</x:v>
      </x:c>
      <x:c r="M94" s="6" t="str"/>
      <x:c r="N94" s="6" t="str"/>
      <x:c r="O94" s="6" t="str"/>
      <x:c r="P94" s="6" t="str"/>
      <x:c r="Q94" s="6" t="str"/>
      <x:c r="R94" s="6" t="str"/>
    </x:row>
    <x:row r="95" ht="72" customHeight="1">
      <x:c r="A95" s="6" t="str">
        <x:v>AUDIT-094</x:v>
      </x:c>
      <x:c r="B95" s="6" t="str">
        <x:v>25-138044 -&gt; NO_CANDIDATE</x:v>
      </x:c>
      <x:c r="C95" s="6" t="str">
        <x:v>INSUFFICIENT_INFORMATION</x:v>
      </x:c>
      <x:c r="D95" s="6" t="str">
        <x:v>LOW</x:v>
      </x:c>
      <x:c r="E95" s="6" t="str">
        <x:v>No later same-buyer BOAMP notice was available by 2026-08-06, but the source was published only in December 2025. The follow-up is too short to decide whether the absence of a candidate is a correct rejection or simple right-censoring.</x:v>
      </x:c>
      <x:c r="F95" s="6" t="str">
        <x:v>Official BOAMP records: source 25-138044 (INITIAL/APPEL_OFFRE, 2025-12-17); no algorithm candidate; later same-buyer BOAMP notices were searched through 2026-08-06.</x:v>
      </x:c>
      <x:c r="G95" s="6" t="str">
        <x:v>https://www.boamp.fr/pages/avis/?q=idweb:25-138044</x:v>
      </x:c>
      <x:c r="H95" s="6" t="str">
        <x:v>The public record does not resolve whether the later/absent notice represents the same procurement need.</x:v>
      </x:c>
      <x:c r="I95" s="6" t="str"/>
      <x:c r="J95" s="6" t="str"/>
      <x:c r="K95" s="6" t="str"/>
      <x:c r="L95" s="6" t="str">
        <x:v>Internship guide linkage definition; official BOAMP record fields; same-buyer later-notice search; secondary public procurement source where noted.</x:v>
      </x:c>
      <x:c r="M95" s="6" t="str"/>
      <x:c r="N95" s="6" t="str"/>
      <x:c r="O95" s="6" t="str"/>
      <x:c r="P95" s="6" t="str"/>
      <x:c r="Q95" s="6" t="str"/>
      <x:c r="R95" s="6" t="str"/>
    </x:row>
    <x:row r="96" ht="72" customHeight="1">
      <x:c r="A96" s="6" t="str">
        <x:v>AUDIT-095</x:v>
      </x:c>
      <x:c r="B96" s="6" t="str">
        <x:v>21-162413 -&gt; NO_CANDIDATE</x:v>
      </x:c>
      <x:c r="C96" s="6" t="str">
        <x:v>CORRECT_REJECTION</x:v>
      </x:c>
      <x:c r="D96" s="6" t="str">
        <x:v>MEDIUM</x:v>
      </x:c>
      <x:c r="E96" s="6" t="str">
        <x:v>The only close later notice is 22-11286, an explicit rectificatif of the same video-protection procedure. A rectificatif is not a renewal, and no distinct successor was identified.</x:v>
      </x:c>
      <x:c r="F96" s="6" t="str">
        <x:v>Official BOAMP records: source 21-162413 (INITIAL/APPEL_OFFRE, 2021-12-10); no algorithm candidate; later same-buyer BOAMP notices were searched through 2026-08-06.</x:v>
      </x:c>
      <x:c r="G96" s="6" t="str">
        <x:v>https://www.boamp.fr/pages/avis/?q=idweb:21-162413</x:v>
      </x:c>
      <x:c r="H96" s="6" t="str">
        <x:v>Absence of a discovered successor is operational evidence only; it does not prove that the need was never renewed outside the observed BOAMP records.</x:v>
      </x:c>
      <x:c r="I96" s="6" t="str"/>
      <x:c r="J96" s="6" t="str"/>
      <x:c r="K96" s="6" t="str"/>
      <x:c r="L96" s="6" t="str">
        <x:v>Internship guide linkage definition; official BOAMP record fields; same-buyer later-notice search; secondary public procurement source where noted.</x:v>
      </x:c>
      <x:c r="M96" s="6" t="str"/>
      <x:c r="N96" s="6" t="str"/>
      <x:c r="O96" s="6" t="str"/>
      <x:c r="P96" s="6" t="str"/>
      <x:c r="Q96" s="6" t="str"/>
      <x:c r="R96" s="6" t="str"/>
    </x:row>
    <x:row r="97" ht="72" customHeight="1">
      <x:c r="A97" s="6" t="str">
        <x:v>AUDIT-096</x:v>
      </x:c>
      <x:c r="B97" s="6" t="str">
        <x:v>21-93672 -&gt; NO_CANDIDATE</x:v>
      </x:c>
      <x:c r="C97" s="6" t="str">
        <x:v>CORRECT_REJECTION</x:v>
      </x:c>
      <x:c r="D97" s="6" t="str">
        <x:v>MEDIUM</x:v>
      </x:c>
      <x:c r="E97" s="6" t="str">
        <x:v>No candidate was generated, and later same-buyer notices concern other water/sewer activities rather than underground-network detection and marking. No plausible successor was identified.</x:v>
      </x:c>
      <x:c r="F97" s="6" t="str">
        <x:v>Official BOAMP records: source 21-93672 (INITIAL/APPEL_OFFRE, 2021-07-06); no algorithm candidate; later same-buyer BOAMP notices were searched through 2026-08-06.</x:v>
      </x:c>
      <x:c r="G97" s="6" t="str">
        <x:v>https://www.boamp.fr/pages/avis/?q=idweb:21-93672</x:v>
      </x:c>
      <x:c r="H97" s="6" t="str">
        <x:v>Absence of a discovered successor is operational evidence only; it does not prove that the need was never renewed outside the observed BOAMP records.</x:v>
      </x:c>
      <x:c r="I97" s="6" t="str"/>
      <x:c r="J97" s="6" t="str"/>
      <x:c r="K97" s="6" t="str"/>
      <x:c r="L97" s="6" t="str">
        <x:v>Internship guide linkage definition; official BOAMP record fields; same-buyer later-notice search; secondary public procurement source where noted.</x:v>
      </x:c>
      <x:c r="M97" s="6" t="str"/>
      <x:c r="N97" s="6" t="str"/>
      <x:c r="O97" s="6" t="str"/>
      <x:c r="P97" s="6" t="str"/>
      <x:c r="Q97" s="6" t="str"/>
      <x:c r="R97" s="6" t="str"/>
    </x:row>
    <x:row r="98" ht="72" customHeight="1">
      <x:c r="A98" s="6" t="str">
        <x:v>AUDIT-097</x:v>
      </x:c>
      <x:c r="B98" s="6" t="str">
        <x:v>22-92531 -&gt; NO_CANDIDATE</x:v>
      </x:c>
      <x:c r="C98" s="6" t="str">
        <x:v>CORRECT_REJECTION</x:v>
      </x:c>
      <x:c r="D98" s="6" t="str">
        <x:v>MEDIUM</x:v>
      </x:c>
      <x:c r="E98" s="6" t="str">
        <x:v>No candidate was generated. The procurement is a one-off equipment purchase for a new headquarters, and the limited same-buyer search found no comparable later computer-equipment notice.</x:v>
      </x:c>
      <x:c r="F98" s="6" t="str">
        <x:v>Official BOAMP records: source 22-92531 (INITIAL/APPEL_OFFRE, 2022-07-06); no algorithm candidate; later same-buyer BOAMP notices were searched through 2026-08-06.</x:v>
      </x:c>
      <x:c r="G98" s="6" t="str">
        <x:v>https://www.boamp.fr/pages/avis/?q=idweb:22-92531</x:v>
      </x:c>
      <x:c r="H98" s="6" t="str">
        <x:v>Absence of a discovered successor is operational evidence only; it does not prove that the need was never renewed outside the observed BOAMP records.</x:v>
      </x:c>
      <x:c r="I98" s="6" t="str"/>
      <x:c r="J98" s="6" t="str"/>
      <x:c r="K98" s="6" t="str"/>
      <x:c r="L98" s="6" t="str">
        <x:v>Internship guide linkage definition; official BOAMP record fields; same-buyer later-notice search; secondary public procurement source where noted.</x:v>
      </x:c>
      <x:c r="M98" s="6" t="str"/>
      <x:c r="N98" s="6" t="str"/>
      <x:c r="O98" s="6" t="str"/>
      <x:c r="P98" s="6" t="str"/>
      <x:c r="Q98" s="6" t="str"/>
      <x:c r="R98" s="6" t="str"/>
    </x:row>
    <x:row r="99" ht="72" customHeight="1">
      <x:c r="A99" s="6" t="str">
        <x:v>AUDIT-098</x:v>
      </x:c>
      <x:c r="B99" s="6" t="str">
        <x:v>17-71305 -&gt; NO_CANDIDATE</x:v>
      </x:c>
      <x:c r="C99" s="6" t="str">
        <x:v>MISSED_LINK</x:v>
      </x:c>
      <x:c r="D99" s="6" t="str">
        <x:v>HIGH</x:v>
      </x:c>
      <x:c r="E99" s="6" t="str">
        <x:v>The algorithm produced no candidate, yet BOAMP notice 17-112686 from the same buyer repeats the source object verbatim 74 days later under a new market reference. This is a plausible reissued procedure and therefore a missed link.</x:v>
      </x:c>
      <x:c r="F99" s="6" t="str">
        <x:v>Official BOAMP records: source 17-71305 (INITIAL/APPEL_OFFRE, 2017-05-22); no algorithm candidate; later same-buyer BOAMP notices were searched through 2026-08-06. Plausible alternative: 17-112686 (Mise à disposition d'une solution de gestion et de facturation de la redevance incitative du service Déchets).</x:v>
      </x:c>
      <x:c r="G99" s="6" t="str">
        <x:v>https://www.boamp.fr/pages/avis/?q=idweb:17-71305
https://www.boamp.fr/pages/avis/?q=idweb:17-112686</x:v>
      </x:c>
      <x:c r="H99" s="6" t="str">
        <x:v>The algorithm's blocking/threshold rules omitted a later notice with substantially stronger object evidence.</x:v>
      </x:c>
      <x:c r="I99" s="6" t="str">
        <x:v>17-112686</x:v>
      </x:c>
      <x:c r="J99" s="6" t="str">
        <x:v>Mise à disposition d'une solution de gestion et de facturation de la redevance incitative du service Déchets</x:v>
      </x:c>
      <x:c r="K99" s="6" t="str">
        <x:v>https://www.boamp.fr/pages/avis/?q=idweb:17-112686</x:v>
      </x:c>
      <x:c r="L99" s="6" t="str">
        <x:v>Internship guide linkage definition; official BOAMP record fields; same-buyer later-notice search; secondary public procurement source where noted.</x:v>
      </x:c>
      <x:c r="M99" s="6" t="str"/>
      <x:c r="N99" s="6" t="str"/>
      <x:c r="O99" s="6" t="str"/>
      <x:c r="P99" s="6" t="str"/>
      <x:c r="Q99" s="6" t="str"/>
      <x:c r="R99" s="6" t="str"/>
    </x:row>
    <x:row r="100" ht="72" customHeight="1">
      <x:c r="A100" s="6" t="str">
        <x:v>AUDIT-099</x:v>
      </x:c>
      <x:c r="B100" s="6" t="str">
        <x:v>21-22700 -&gt; NO_CANDIDATE</x:v>
      </x:c>
      <x:c r="C100" s="6" t="str">
        <x:v>CORRECT_REJECTION</x:v>
      </x:c>
      <x:c r="D100" s="6" t="str">
        <x:v>MEDIUM</x:v>
      </x:c>
      <x:c r="E100" s="6" t="str">
        <x:v>No candidate was generated. The source is a broad four-lot, up-to-48-month IT-services framework; later notices found under the same buyer concern narrower systems such as messaging and do not establish a replacement of this framework.</x:v>
      </x:c>
      <x:c r="F100" s="6" t="str">
        <x:v>Official BOAMP records: source 21-22700 (INITIAL/APPEL_OFFRE, 2021-02-19); no algorithm candidate; later same-buyer BOAMP notices were searched through 2026-08-06.</x:v>
      </x:c>
      <x:c r="G100" s="6" t="str">
        <x:v>https://www.boamp.fr/pages/avis/?q=idweb:21-22700</x:v>
      </x:c>
      <x:c r="H100" s="6" t="str">
        <x:v>Absence of a discovered successor is operational evidence only; it does not prove that the need was never renewed outside the observed BOAMP records.</x:v>
      </x:c>
      <x:c r="I100" s="6" t="str"/>
      <x:c r="J100" s="6" t="str"/>
      <x:c r="K100" s="6" t="str"/>
      <x:c r="L100" s="6" t="str">
        <x:v>Internship guide linkage definition; official BOAMP record fields; same-buyer later-notice search; secondary public procurement source where noted.</x:v>
      </x:c>
      <x:c r="M100" s="6" t="str"/>
      <x:c r="N100" s="6" t="str"/>
      <x:c r="O100" s="6" t="str"/>
      <x:c r="P100" s="6" t="str"/>
      <x:c r="Q100" s="6" t="str"/>
      <x:c r="R100" s="6" t="str"/>
    </x:row>
    <x:row r="101" ht="72" customHeight="1">
      <x:c r="A101" s="6" t="str">
        <x:v>AUDIT-100</x:v>
      </x:c>
      <x:c r="B101" s="6" t="str">
        <x:v>20-130599 -&gt; NO_CANDIDATE</x:v>
      </x:c>
      <x:c r="C101" s="6" t="str">
        <x:v>MISSED_LINK</x:v>
      </x:c>
      <x:c r="D101" s="6" t="str">
        <x:v>HIGH</x:v>
      </x:c>
      <x:c r="E101" s="6" t="str">
        <x:v>The algorithm produced no candidate, yet BOAMP notice 23-7811 from the same SIRET again procures electrical and IT-cabling works on the City of Alençon building stock. The later 25-4351 notice repeats the same need again. The 2023 notice is the earliest plausible missed successor.</x:v>
      </x:c>
      <x:c r="F101" s="6" t="str">
        <x:v>Official BOAMP records: source 20-130599 (INITIAL/APPEL_OFFRE, 2020-10-23); no algorithm candidate; later same-buyer BOAMP notices were searched through 2026-08-06. Plausible alternative: 23-7811 (Travaux d'électricité et de câblage informatique sur le patrimoine bâti de la Ville d'Alençon).</x:v>
      </x:c>
      <x:c r="G101" s="6" t="str">
        <x:v>https://www.boamp.fr/pages/avis/?q=idweb:20-130599
https://www.boamp.fr/pages/avis/?q=idweb:23-7811</x:v>
      </x:c>
      <x:c r="H101" s="6" t="str">
        <x:v>The algorithm's blocking/threshold rules omitted a later notice with substantially stronger object evidence.</x:v>
      </x:c>
      <x:c r="I101" s="6" t="str">
        <x:v>23-7811</x:v>
      </x:c>
      <x:c r="J101" s="6" t="str">
        <x:v>Travaux d'électricité et de câblage informatique sur le patrimoine bâti de la Ville d'Alençon</x:v>
      </x:c>
      <x:c r="K101" s="6" t="str">
        <x:v>https://www.boamp.fr/pages/avis/?q=idweb:23-7811</x:v>
      </x:c>
      <x:c r="L101" s="6" t="str">
        <x:v>Internship guide linkage definition; official BOAMP record fields; same-buyer later-notice search; secondary public procurement source where noted.</x:v>
      </x:c>
      <x:c r="M101" s="6" t="str"/>
      <x:c r="N101" s="6" t="str"/>
      <x:c r="O101" s="6" t="str"/>
      <x:c r="P101" s="6" t="str"/>
      <x:c r="Q101" s="6" t="str"/>
      <x:c r="R101" s="6" t="str"/>
    </x:row>
  </x:sheetData>
  <x:conditionalFormatting sqref="C2:C101">
    <x:cfRule type="containsText" dxfId="5" priority="1" operator="containsText" text="CORRECT_LINK"/>
    <x:cfRule type="containsText" dxfId="6" priority="2" operator="containsText" text="WRONG_LINK"/>
    <x:cfRule type="containsText" dxfId="7" priority="3" operator="containsText" text="MISSED_LINK"/>
    <x:cfRule type="containsText" dxfId="8" priority="4" operator="containsText" text="CORRECT_REJECTION"/>
    <x:cfRule type="containsText" dxfId="9" priority="5" operator="containsText" text="INSUFFICIENT_INFORMATION"/>
  </x:conditionalFormatting>
  <x:pageMargins left="0.7" right="0.7" top="0.75" bottom="0.75" header="0.3" footer="0.3"/>
  <x:tableParts count="1">
    <x:tablePart xmlns:r="http://schemas.openxmlformats.org/officeDocument/2006/relationships" r:id="R0864fa2a9b5046b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27" hidden="0" customWidth="1"/>
    <x:col min="3" max="3" width="60" hidden="0" customWidth="1"/>
    <x:col min="4" max="4" width="53" hidden="0" customWidth="1"/>
  </x:cols>
  <x:sheetData>
    <x:row r="1">
      <x:c r="A1" s="8" t="str">
        <x:v>Manual Validation Rubric</x:v>
      </x:c>
      <x:c r="B1" s="8"/>
      <x:c r="C1" s="8"/>
      <x:c r="D1" s="8"/>
    </x:row>
    <x:row r="3">
      <x:c r="A3" s="33" t="str">
        <x:v>Label</x:v>
      </x:c>
      <x:c r="B3" s="33" t="str">
        <x:v>Applies to</x:v>
      </x:c>
      <x:c r="C3" s="33" t="str">
        <x:v>Decision rule</x:v>
      </x:c>
      <x:c r="D3" s="33" t="str">
        <x:v>Important exclusion</x:v>
      </x:c>
    </x:row>
    <x:row r="4" ht="74" customHeight="1">
      <x:c r="A4" s="6" t="str">
        <x:v>CORRECT_LINK</x:v>
      </x:c>
      <x:c r="B4" s="6" t="str">
        <x:v>Accepted pair</x:v>
      </x:c>
      <x:c r="C4" s="6" t="str">
        <x:v>Distinct later procurement is a renewal, relaunch, replacement or continuation of substantially the same need.</x:v>
      </x:c>
      <x:c r="D4" s="6" t="str">
        <x:v>A rectificatif, annulation or version update is not a renewal.</x:v>
      </x:c>
    </x:row>
    <x:row r="5" ht="74" customHeight="1">
      <x:c r="A5" s="6" t="str">
        <x:v>WRONG_LINK</x:v>
      </x:c>
      <x:c r="B5" s="6" t="str">
        <x:v>Accepted pair</x:v>
      </x:c>
      <x:c r="C5" s="6" t="str">
        <x:v>Buyer may match, but function, equipment, lot, beneficiaries or procurement purpose materially differs.</x:v>
      </x:c>
      <x:c r="D5" s="6" t="str">
        <x:v>Generic digital wording or shared two-digit CPV is not enough.</x:v>
      </x:c>
    </x:row>
    <x:row r="6" ht="74" customHeight="1">
      <x:c r="A6" s="6" t="str">
        <x:v>MISSED_LINK</x:v>
      </x:c>
      <x:c r="B6" s="6" t="str">
        <x:v>Rejected/no-candidate case</x:v>
      </x:c>
      <x:c r="C6" s="6" t="str">
        <x:v>A different later notice is a plausible successor supported by stronger object, buyer, lot/reference and timing evidence.</x:v>
      </x:c>
      <x:c r="D6" s="6" t="str">
        <x:v>Record the alternative notice ID and URL.</x:v>
      </x:c>
    </x:row>
    <x:row r="7" ht="74" customHeight="1">
      <x:c r="A7" s="6" t="str">
        <x:v>CORRECT_REJECTION</x:v>
      </x:c>
      <x:c r="B7" s="6" t="str">
        <x:v>Rejected/no-candidate case</x:v>
      </x:c>
      <x:c r="C7" s="6" t="str">
        <x:v>Reviewed candidate is unrelated; the later-notice search found no plausible successor.</x:v>
      </x:c>
      <x:c r="D7" s="6" t="str">
        <x:v>This is not proof that the need was never renewed.</x:v>
      </x:c>
    </x:row>
    <x:row r="8" ht="74" customHeight="1">
      <x:c r="A8" s="6" t="str">
        <x:v>INSUFFICIENT_INFORMATION</x:v>
      </x:c>
      <x:c r="B8" s="6" t="str">
        <x:v>Either</x:v>
      </x:c>
      <x:c r="C8" s="6" t="str">
        <x:v>Available public evidence cannot resolve whether the later/absent notice represents the same need.</x:v>
      </x:c>
      <x:c r="D8" s="6" t="str">
        <x:v>Use for genuinely unresolved scope, identity or follow-up.</x:v>
      </x:c>
    </x:row>
    <x:row r="10">
      <x:c r="A10" s="33" t="str">
        <x:v>Confidence</x:v>
      </x:c>
      <x:c r="B10" s="33" t="str">
        <x:v>Meaning</x:v>
      </x:c>
      <x:c r="C10" s="33" t="str">
        <x:v>Second-review guidance</x:v>
      </x:c>
    </x:row>
    <x:row r="11" ht="58" customHeight="1">
      <x:c r="A11" s="6" t="str">
        <x:v>HIGH</x:v>
      </x:c>
      <x:c r="B11" s="6" t="str">
        <x:v>Explicit relaunch/notice linkage, exact detailed scope, or clearly incompatible concrete objects.</x:v>
      </x:c>
      <x:c r="C11" s="6" t="str">
        <x:v>Usually not required unless high impact.</x:v>
      </x:c>
    </x:row>
    <x:row r="12" ht="58" customHeight="1">
      <x:c r="A12" s="6" t="str">
        <x:v>MEDIUM</x:v>
      </x:c>
      <x:c r="B12" s="6" t="str">
        <x:v>Strong but inferential evidence; scope may overlap or an explicit notice link may be absent.</x:v>
      </x:c>
      <x:c r="C12" s="6" t="str">
        <x:v>Recommended for credible-link cases before freezing.</x:v>
      </x:c>
    </x:row>
    <x:row r="13" ht="58" customHeight="1">
      <x:c r="A13" s="6" t="str">
        <x:v>LOW</x:v>
      </x:c>
      <x:c r="B13" s="6" t="str">
        <x:v>Evidence is genuinely insufficient.</x:v>
      </x:c>
      <x:c r="C13" s="6" t="str">
        <x:v>Required.</x:v>
      </x:c>
    </x:row>
  </x:sheetData>
  <x:mergeCells>
    <x:mergeCell ref="A1:D1"/>
  </x:mergeCells>
  <x:pageMargins left="0.7" right="0.7" top="0.75" bottom="0.75" header="0.3" footer="0.3"/>
</x:worksheet>
</file>